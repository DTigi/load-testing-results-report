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Автоматизированный расчет" sheetId="1" state="visible" r:id="rId3"/>
    <sheet name="Соответствие" sheetId="2" state="visible" r:id="rId4"/>
    <sheet name="SummaryReport" sheetId="3" state="visible" r:id="rId5"/>
    <sheet name="Результаты всех тестов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M21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1. Отображение состояния скриптов
2. Расчёт интенсивности
3. Расчёт интенсивности для каждой транзакции</t>
        </r>
      </text>
    </comment>
    <comment ref="N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Duration - заполняется на основе данных после выполнения итерации соотвествующего скрипта в Vugen'е</t>
        </r>
      </text>
    </comment>
    <comment ref="O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ThinkTime - заполнятеся на основе ThinkTime'ов по выполнению одной итерации соотвествующего скрипта в Vugen'е</t>
        </r>
      </text>
    </comment>
    <comment ref="P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Общая длительность одной итерации скрипта ThinkTime + Duration, считается автоматически</t>
        </r>
      </text>
    </comment>
    <comment ref="Q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Pacing не должен быть меньше чем Duration + think time (столбец P). Изначально считается как Duration + think time * 2 (коэф запаса времени), далее подгоняется вручную</t>
        </r>
      </text>
    </comment>
    <comment ref="R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Количество пользователей для конкретного скрипта, заполняется вручную, сумма всех пользователей для 100% профиля не должна превышать 10.</t>
        </r>
      </text>
    </comment>
    <comment ref="Z2" authorId="0">
      <text>
        <r>
          <rPr>
            <sz val="10"/>
            <rFont val="Arial"/>
            <family val="2"/>
          </rPr>
          <t xml:space="preserve">Microsoft Office User:
</t>
        </r>
        <r>
          <rPr>
            <sz val="10"/>
            <color rgb="FF000000"/>
            <rFont val="Tahoma"/>
            <family val="2"/>
          </rPr>
          <t xml:space="preserve">Количество пользователей для конкретного скрипта, заполняется вручную, сумма всех пользователей для 100% профиля не должна превышать 10.</t>
        </r>
      </text>
    </comment>
  </commentList>
</comments>
</file>

<file path=xl/sharedStrings.xml><?xml version="1.0" encoding="utf-8"?>
<sst xmlns="http://schemas.openxmlformats.org/spreadsheetml/2006/main" count="363" uniqueCount="110">
  <si>
    <t xml:space="preserve">Script name</t>
  </si>
  <si>
    <t xml:space="preserve">transaction rq</t>
  </si>
  <si>
    <t xml:space="preserve">count</t>
  </si>
  <si>
    <t xml:space="preserve">VU</t>
  </si>
  <si>
    <t xml:space="preserve">pacing</t>
  </si>
  <si>
    <t xml:space="preserve">одним пользователем в минуту</t>
  </si>
  <si>
    <t xml:space="preserve">Длительность ступени</t>
  </si>
  <si>
    <t xml:space="preserve">Итого</t>
  </si>
  <si>
    <t xml:space="preserve">Сумма по полю Итого</t>
  </si>
  <si>
    <t xml:space="preserve">Операция (бизнес процесс)</t>
  </si>
  <si>
    <t xml:space="preserve">Duration</t>
  </si>
  <si>
    <t xml:space="preserve">Think_time</t>
  </si>
  <si>
    <t xml:space="preserve">Duration + Think_time</t>
  </si>
  <si>
    <t xml:space="preserve">Pacing</t>
  </si>
  <si>
    <t xml:space="preserve">% Распределения пользователей</t>
  </si>
  <si>
    <t xml:space="preserve">Jmeter, throughput per minute</t>
  </si>
  <si>
    <t xml:space="preserve">Длительность ступени в минутах</t>
  </si>
  <si>
    <t xml:space="preserve">Интенсивность операций</t>
  </si>
  <si>
    <t xml:space="preserve">Всего пользователей на ступени</t>
  </si>
  <si>
    <t xml:space="preserve">Покупка билета</t>
  </si>
  <si>
    <t xml:space="preserve">Главная Welcome страница</t>
  </si>
  <si>
    <t xml:space="preserve">Вход в систему</t>
  </si>
  <si>
    <t xml:space="preserve">Выбор рейса из найденных </t>
  </si>
  <si>
    <t xml:space="preserve">Удаление бронирования </t>
  </si>
  <si>
    <t xml:space="preserve">Переход на страницу поиска билетов</t>
  </si>
  <si>
    <t xml:space="preserve">Выход из системы</t>
  </si>
  <si>
    <t xml:space="preserve">Регистрация новых пользователей</t>
  </si>
  <si>
    <t xml:space="preserve">Заполнение полей для поиска билета </t>
  </si>
  <si>
    <t xml:space="preserve">Поиск билета без покупки</t>
  </si>
  <si>
    <t xml:space="preserve">Оплата билета</t>
  </si>
  <si>
    <t xml:space="preserve">Ознакомление с путевым листом</t>
  </si>
  <si>
    <t xml:space="preserve">Отмена бронирования </t>
  </si>
  <si>
    <t xml:space="preserve">Логин</t>
  </si>
  <si>
    <t xml:space="preserve">Просмотр квитанций</t>
  </si>
  <si>
    <t xml:space="preserve">Перход на страницу регистрации</t>
  </si>
  <si>
    <t xml:space="preserve">Заполнение полей регистарции</t>
  </si>
  <si>
    <t xml:space="preserve">Переход на следуюущий эран после регистарции</t>
  </si>
  <si>
    <t xml:space="preserve">Итог Результат</t>
  </si>
  <si>
    <t xml:space="preserve">Статистика с ПРОДа</t>
  </si>
  <si>
    <t xml:space="preserve">Профиль</t>
  </si>
  <si>
    <t xml:space="preserve">Название запроса</t>
  </si>
  <si>
    <t xml:space="preserve">Интенсивность по статистике запросов / час</t>
  </si>
  <si>
    <t xml:space="preserve">Расчетная интенсивность запросов / час</t>
  </si>
  <si>
    <t xml:space="preserve">% Соотвествия расчетанной интенсивности статистики</t>
  </si>
  <si>
    <t xml:space="preserve">ScriptName</t>
  </si>
  <si>
    <t xml:space="preserve">Расчетная интенсивность запросов / 20 мин</t>
  </si>
  <si>
    <t xml:space="preserve">Фактическая интенсивность в тесте</t>
  </si>
  <si>
    <t xml:space="preserve">% Отклонение от Профиля</t>
  </si>
  <si>
    <t xml:space="preserve">Операций/час = количество операций одним пользователем в час (60 * количество операций один пользователем в минуту (pacing / 60)) * кол-во пользователей</t>
  </si>
  <si>
    <t xml:space="preserve">Имя в статистике</t>
  </si>
  <si>
    <t xml:space="preserve">Имя в скрипте</t>
  </si>
  <si>
    <t xml:space="preserve">Welcome</t>
  </si>
  <si>
    <t xml:space="preserve">Login</t>
  </si>
  <si>
    <t xml:space="preserve">Flights</t>
  </si>
  <si>
    <t xml:space="preserve">Find_flight</t>
  </si>
  <si>
    <t xml:space="preserve">Payment_details</t>
  </si>
  <si>
    <t xml:space="preserve">Invoice</t>
  </si>
  <si>
    <t xml:space="preserve">Itinerary</t>
  </si>
  <si>
    <t xml:space="preserve">Delete_one_itineraries</t>
  </si>
  <si>
    <t xml:space="preserve">Logout</t>
  </si>
  <si>
    <t xml:space="preserve">Signup</t>
  </si>
  <si>
    <t xml:space="preserve">Signup_done</t>
  </si>
  <si>
    <t xml:space="preserve">Login_after_registration</t>
  </si>
  <si>
    <t xml:space="preserve">Transaction Name</t>
  </si>
  <si>
    <t xml:space="preserve">SLA Status</t>
  </si>
  <si>
    <t xml:space="preserve">Minimum</t>
  </si>
  <si>
    <t xml:space="preserve">Average</t>
  </si>
  <si>
    <t xml:space="preserve">Maximum</t>
  </si>
  <si>
    <t xml:space="preserve">Std. Deviation</t>
  </si>
  <si>
    <t xml:space="preserve">90 Percent</t>
  </si>
  <si>
    <t xml:space="preserve">Pass</t>
  </si>
  <si>
    <t xml:space="preserve">Fail</t>
  </si>
  <si>
    <t xml:space="preserve">Stop</t>
  </si>
  <si>
    <t xml:space="preserve">Action_Transaction</t>
  </si>
  <si>
    <t xml:space="preserve">No Data</t>
  </si>
  <si>
    <t xml:space="preserve">cancelChecked</t>
  </si>
  <si>
    <t xml:space="preserve">clickFlights</t>
  </si>
  <si>
    <t xml:space="preserve">clickItinerary</t>
  </si>
  <si>
    <t xml:space="preserve">confirmSignUp</t>
  </si>
  <si>
    <t xml:space="preserve">findFlight</t>
  </si>
  <si>
    <t xml:space="preserve">login</t>
  </si>
  <si>
    <t xml:space="preserve">openHomePage</t>
  </si>
  <si>
    <t xml:space="preserve">paymentDetails</t>
  </si>
  <si>
    <t xml:space="preserve">profileDataEntry</t>
  </si>
  <si>
    <t xml:space="preserve">selectTicket</t>
  </si>
  <si>
    <t xml:space="preserve">signOff</t>
  </si>
  <si>
    <t xml:space="preserve">signUp</t>
  </si>
  <si>
    <t xml:space="preserve">UC01_registration</t>
  </si>
  <si>
    <t xml:space="preserve">UC02_searchTicket_withoutBuy</t>
  </si>
  <si>
    <t xml:space="preserve">UC03_viewingItinerary</t>
  </si>
  <si>
    <t xml:space="preserve">UC04_buyTicket</t>
  </si>
  <si>
    <t xml:space="preserve">UC05_deleteTicket</t>
  </si>
  <si>
    <t xml:space="preserve">UC06_searchTicket_withoutSelectFlight</t>
  </si>
  <si>
    <t xml:space="preserve">UC07_login</t>
  </si>
  <si>
    <t xml:space="preserve">Профиль для 10 пользователей</t>
  </si>
  <si>
    <t xml:space="preserve">Наименование операции</t>
  </si>
  <si>
    <t xml:space="preserve">Наименование транзакции</t>
  </si>
  <si>
    <t xml:space="preserve">По профилю</t>
  </si>
  <si>
    <t xml:space="preserve">По факту</t>
  </si>
  <si>
    <t xml:space="preserve">% отклонения</t>
  </si>
  <si>
    <t xml:space="preserve">20 min</t>
  </si>
  <si>
    <t xml:space="preserve">requests</t>
  </si>
  <si>
    <t xml:space="preserve">Requests total</t>
  </si>
  <si>
    <t xml:space="preserve">Переход на страницу регистрации</t>
  </si>
  <si>
    <t xml:space="preserve">Заполнение полей регистрации</t>
  </si>
  <si>
    <t xml:space="preserve">Переход на следующий экран после регистрации</t>
  </si>
  <si>
    <t xml:space="preserve">Поиск максимума 2 ступень 20 пользователей</t>
  </si>
  <si>
    <t xml:space="preserve">Подтверждение максимума 2 ступень 20 пользователей</t>
  </si>
  <si>
    <t xml:space="preserve">Стресс-тест пиковая производительность 3 ступень 30 пользователей</t>
  </si>
  <si>
    <t xml:space="preserve">Стресс-тест «Объёмное тестирование» 2 ступень 20 пользователей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</si>
</sst>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"/>
    <numFmt numFmtId="168" formatCode="0%"/>
  </numFmts>
  <fonts count="1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</font>
    <font>
      <b val="true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 tint="-0.25"/>
      <name val="Calibri"/>
      <family val="2"/>
    </font>
    <font>
      <sz val="14"/>
      <color theme="1"/>
      <name val="Calibri"/>
      <family val="2"/>
    </font>
    <font>
      <sz val="14"/>
      <color theme="1"/>
      <name val="Times New Roman"/>
      <family val="1"/>
    </font>
    <font>
      <b val="true"/>
      <sz val="14"/>
      <color theme="1"/>
      <name val="Times New Roman"/>
      <family val="1"/>
    </font>
    <font>
      <sz val="10"/>
      <name val="Arial"/>
      <family val="2"/>
    </font>
    <font>
      <sz val="10"/>
      <color rgb="FF000000"/>
      <name val="Tahoma"/>
      <family val="2"/>
    </font>
    <font>
      <sz val="11"/>
      <color theme="1"/>
      <name val="Noto Serif"/>
      <family val="1"/>
    </font>
    <font>
      <b val="true"/>
      <sz val="11"/>
      <color theme="1"/>
      <name val="Noto Serif"/>
      <family val="1"/>
    </font>
  </fonts>
  <fills count="28">
    <fill>
      <patternFill patternType="none"/>
    </fill>
    <fill>
      <patternFill patternType="gray125"/>
    </fill>
    <fill>
      <patternFill patternType="solid">
        <fgColor theme="4" tint="0.7999"/>
        <bgColor rgb="FFDAE3F3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DEEBF7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EEBF7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B4C7E7"/>
      </patternFill>
    </fill>
    <fill>
      <patternFill patternType="solid">
        <fgColor theme="5" tint="0.5999"/>
        <bgColor rgb="FFFFE699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9DC3E6"/>
      </patternFill>
    </fill>
    <fill>
      <patternFill patternType="solid">
        <fgColor theme="9" tint="0.5999"/>
        <bgColor rgb="FFD9D9D9"/>
      </patternFill>
    </fill>
    <fill>
      <patternFill patternType="solid">
        <fgColor theme="4" tint="0.3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theme="6" tint="0.3999"/>
        <bgColor rgb="FFD0CECE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9DC3E6"/>
      </patternFill>
    </fill>
    <fill>
      <patternFill patternType="solid">
        <fgColor theme="9" tint="0.3999"/>
        <bgColor rgb="FFC5E0B4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theme="2" tint="-0.1"/>
        <bgColor rgb="FFC9C9C9"/>
      </patternFill>
    </fill>
    <fill>
      <patternFill patternType="solid">
        <fgColor theme="7"/>
        <bgColor rgb="FFFFD966"/>
      </patternFill>
    </fill>
    <fill>
      <patternFill patternType="solid">
        <fgColor rgb="FFFFFF00"/>
        <bgColor rgb="FFFFD966"/>
      </patternFill>
    </fill>
    <fill>
      <patternFill patternType="solid">
        <fgColor theme="0" tint="-0.15"/>
        <bgColor rgb="FFDBDBDB"/>
      </patternFill>
    </fill>
    <fill>
      <patternFill patternType="solid">
        <fgColor theme="3" tint="0.5999"/>
        <bgColor rgb="FFB2B2B2"/>
      </patternFill>
    </fill>
    <fill>
      <patternFill patternType="solid">
        <fgColor theme="0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/>
      <diagonal/>
    </border>
  </borders>
  <cellStyleXfs count="6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9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0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1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2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0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2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  <xf numFmtId="164" fontId="0" fillId="21" borderId="1" applyFont="true" applyBorder="tru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58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6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5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2" xfId="5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3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5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7" xfId="5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24" xfId="5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5" xfId="5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5" fillId="0" borderId="26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5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5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5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9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13" borderId="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5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4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5" borderId="2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25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5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7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8" xfId="5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8" xfId="5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55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— акцент1 2" xfId="20"/>
    <cellStyle name="20% — акцент1 3" xfId="21"/>
    <cellStyle name="20% — акцент2 2" xfId="22"/>
    <cellStyle name="20% — акцент2 3" xfId="23"/>
    <cellStyle name="20% — акцент3 2" xfId="24"/>
    <cellStyle name="20% — акцент3 3" xfId="25"/>
    <cellStyle name="20% — акцент4 2" xfId="26"/>
    <cellStyle name="20% — акцент4 3" xfId="27"/>
    <cellStyle name="20% — акцент5 2" xfId="28"/>
    <cellStyle name="20% — акцент5 3" xfId="29"/>
    <cellStyle name="20% — акцент6 2" xfId="30"/>
    <cellStyle name="20% — акцент6 3" xfId="31"/>
    <cellStyle name="40% — акцент1 2" xfId="32"/>
    <cellStyle name="40% — акцент1 3" xfId="33"/>
    <cellStyle name="40% — акцент2 2" xfId="34"/>
    <cellStyle name="40% — акцент2 3" xfId="35"/>
    <cellStyle name="40% — акцент3 2" xfId="36"/>
    <cellStyle name="40% — акцент3 3" xfId="37"/>
    <cellStyle name="40% — акцент4 2" xfId="38"/>
    <cellStyle name="40% — акцент4 3" xfId="39"/>
    <cellStyle name="40% — акцент5 2" xfId="40"/>
    <cellStyle name="40% — акцент5 3" xfId="41"/>
    <cellStyle name="40% — акцент6 2" xfId="42"/>
    <cellStyle name="40% — акцент6 3" xfId="43"/>
    <cellStyle name="60% — акцент1 2" xfId="44"/>
    <cellStyle name="60% — акцент2 2" xfId="45"/>
    <cellStyle name="60% — акцент3 2" xfId="46"/>
    <cellStyle name="60% — акцент4 2" xfId="47"/>
    <cellStyle name="60% — акцент5 2" xfId="48"/>
    <cellStyle name="60% — акцент6 2" xfId="49"/>
    <cellStyle name="Заглавие сводной таблицы" xfId="50"/>
    <cellStyle name="Значение сводной таблицы" xfId="51"/>
    <cellStyle name="Категория сводной таблицы" xfId="52"/>
    <cellStyle name="Нейтральный 2" xfId="53"/>
    <cellStyle name="Обычный 2" xfId="54"/>
    <cellStyle name="Обычный 3" xfId="55"/>
    <cellStyle name="Обычный 4" xfId="56"/>
    <cellStyle name="Обычный 5" xfId="57"/>
    <cellStyle name="Поле сводной таблицы" xfId="58"/>
    <cellStyle name="Примечание 2" xfId="59"/>
    <cellStyle name="Примечание 3" xfId="60"/>
    <cellStyle name="Примечание 4" xfId="61"/>
    <cellStyle name="Результат сводной таблицы" xfId="62"/>
    <cellStyle name="Угол сводной таблицы" xfId="6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DEDED"/>
      <rgbColor rgb="FF800000"/>
      <rgbColor rgb="FF008000"/>
      <rgbColor rgb="FF000080"/>
      <rgbColor rgb="FF9C6500"/>
      <rgbColor rgb="FF800080"/>
      <rgbColor rgb="FF008080"/>
      <rgbColor rgb="FFBFBFBF"/>
      <rgbColor rgb="FFB4C7E7"/>
      <rgbColor rgb="FF8FAADC"/>
      <rgbColor rgb="FF993366"/>
      <rgbColor rgb="FFFFFFCC"/>
      <rgbColor rgb="FFDEEBF7"/>
      <rgbColor rgb="FF660066"/>
      <rgbColor rgb="FFC9C9C9"/>
      <rgbColor rgb="FF0066CC"/>
      <rgbColor rgb="FFBDD7EE"/>
      <rgbColor rgb="FF000080"/>
      <rgbColor rgb="FFFF00FF"/>
      <rgbColor rgb="FFFFD966"/>
      <rgbColor rgb="FFFFF2CC"/>
      <rgbColor rgb="FF800080"/>
      <rgbColor rgb="FF800000"/>
      <rgbColor rgb="FF008080"/>
      <rgbColor rgb="FF0000FF"/>
      <rgbColor rgb="FFFBE5D6"/>
      <rgbColor rgb="FFDAE3F3"/>
      <rgbColor rgb="FFE2F0D9"/>
      <rgbColor rgb="FFFFEB9C"/>
      <rgbColor rgb="FF9DC3E6"/>
      <rgbColor rgb="FFF4B183"/>
      <rgbColor rgb="FFADB9CA"/>
      <rgbColor rgb="FFF8CBAD"/>
      <rgbColor rgb="FF3366FF"/>
      <rgbColor rgb="FFC5E0B4"/>
      <rgbColor rgb="FFA9D18E"/>
      <rgbColor rgb="FFFFC000"/>
      <rgbColor rgb="FFFFE699"/>
      <rgbColor rgb="FFDBDBDB"/>
      <rgbColor rgb="FFD0CECE"/>
      <rgbColor rgb="FFB2B2B2"/>
      <rgbColor rgb="FF003366"/>
      <rgbColor rgb="FFD9D9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2" createdVersion="3">
  <cacheSource type="worksheet">
    <worksheetSource ref="A1:H33" sheet="Автоматизированный расчет"/>
  </cacheSource>
  <cacheFields count="8">
    <cacheField name="Script name" numFmtId="0">
      <sharedItems count="6">
        <s v="Логин"/>
        <s v="Ознакомление с путевым листом"/>
        <s v="Поиск билета без покупки"/>
        <s v="Покупка билета"/>
        <s v="Регистрация новых пользователей"/>
        <s v="Удаление бронирования "/>
      </sharedItems>
    </cacheField>
    <cacheField name="transaction rq" numFmtId="0">
      <sharedItems count="12">
        <s v="Вход в систему"/>
        <s v="Выбор рейса из найденных "/>
        <s v="Выход из системы"/>
        <s v="Главная Welcome страница"/>
        <s v="Заполнение полей для поиска билета "/>
        <s v="Заполнение полей регистарции"/>
        <s v="Оплата билета"/>
        <s v="Отмена бронирования "/>
        <s v="Переход на следуюущий эран после регистарции"/>
        <s v="Переход на страницу поиска билетов"/>
        <s v="Перход на страницу регистрации"/>
        <s v="Просмотр квитанций"/>
      </sharedItems>
    </cacheField>
    <cacheField name="count" numFmtId="0">
      <sharedItems containsSemiMixedTypes="0" containsString="0" containsNumber="1" containsInteger="1" minValue="0" maxValue="1" count="2">
        <n v="0"/>
        <n v="1"/>
      </sharedItems>
    </cacheField>
    <cacheField name="VU" numFmtId="0">
      <sharedItems containsSemiMixedTypes="0" containsString="0" containsNumber="1" containsInteger="1" minValue="1" maxValue="2" count="2">
        <n v="1"/>
        <n v="2"/>
      </sharedItems>
    </cacheField>
    <cacheField name="pacing" numFmtId="0">
      <sharedItems containsSemiMixedTypes="0" containsString="0" containsNumber="1" containsInteger="1" minValue="38" maxValue="960" count="6">
        <n v="38"/>
        <n v="42"/>
        <n v="52"/>
        <n v="64"/>
        <n v="84"/>
        <n v="960"/>
      </sharedItems>
    </cacheField>
    <cacheField name="одним пользователем в минуту" numFmtId="0">
      <sharedItems containsSemiMixedTypes="0" containsString="0" containsNumber="1" minValue="0" maxValue="1.57894736842105" count="7">
        <n v="0"/>
        <n v="0.0625"/>
        <n v="0.714285714285714"/>
        <n v="0.9375"/>
        <n v="1.15384615384615"/>
        <n v="1.42857142857143"/>
        <n v="1.57894736842105"/>
      </sharedItems>
    </cacheField>
    <cacheField name="Длительность ступени" numFmtId="0">
      <sharedItems containsSemiMixedTypes="0" containsString="0" containsNumber="1" containsInteger="1" minValue="20" maxValue="20" count="1">
        <n v="20"/>
      </sharedItems>
    </cacheField>
    <cacheField name="Итого" numFmtId="0">
      <sharedItems containsSemiMixedTypes="0" containsString="0" containsNumber="1" minValue="0" maxValue="57.1428571428571" count="7">
        <n v="0"/>
        <n v="2.5"/>
        <n v="23.0769230769231"/>
        <n v="28.5714285714286"/>
        <n v="31.5789473684211"/>
        <n v="37.5"/>
        <n v="57.142857142857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3"/>
    <x v="3"/>
    <x v="1"/>
    <x v="1"/>
    <x v="1"/>
    <x v="5"/>
    <x v="0"/>
    <x v="6"/>
  </r>
  <r>
    <x v="3"/>
    <x v="0"/>
    <x v="1"/>
    <x v="1"/>
    <x v="1"/>
    <x v="5"/>
    <x v="0"/>
    <x v="6"/>
  </r>
  <r>
    <x v="3"/>
    <x v="9"/>
    <x v="1"/>
    <x v="1"/>
    <x v="1"/>
    <x v="5"/>
    <x v="0"/>
    <x v="6"/>
  </r>
  <r>
    <x v="3"/>
    <x v="4"/>
    <x v="1"/>
    <x v="1"/>
    <x v="1"/>
    <x v="5"/>
    <x v="0"/>
    <x v="6"/>
  </r>
  <r>
    <x v="3"/>
    <x v="1"/>
    <x v="1"/>
    <x v="1"/>
    <x v="1"/>
    <x v="5"/>
    <x v="0"/>
    <x v="6"/>
  </r>
  <r>
    <x v="3"/>
    <x v="6"/>
    <x v="1"/>
    <x v="1"/>
    <x v="1"/>
    <x v="5"/>
    <x v="0"/>
    <x v="6"/>
  </r>
  <r>
    <x v="3"/>
    <x v="2"/>
    <x v="1"/>
    <x v="1"/>
    <x v="1"/>
    <x v="5"/>
    <x v="0"/>
    <x v="6"/>
  </r>
  <r>
    <x v="5"/>
    <x v="3"/>
    <x v="1"/>
    <x v="0"/>
    <x v="2"/>
    <x v="4"/>
    <x v="0"/>
    <x v="2"/>
  </r>
  <r>
    <x v="5"/>
    <x v="0"/>
    <x v="1"/>
    <x v="0"/>
    <x v="2"/>
    <x v="4"/>
    <x v="0"/>
    <x v="2"/>
  </r>
  <r>
    <x v="5"/>
    <x v="11"/>
    <x v="1"/>
    <x v="0"/>
    <x v="2"/>
    <x v="4"/>
    <x v="0"/>
    <x v="2"/>
  </r>
  <r>
    <x v="5"/>
    <x v="7"/>
    <x v="1"/>
    <x v="0"/>
    <x v="2"/>
    <x v="4"/>
    <x v="0"/>
    <x v="2"/>
  </r>
  <r>
    <x v="5"/>
    <x v="2"/>
    <x v="1"/>
    <x v="0"/>
    <x v="2"/>
    <x v="4"/>
    <x v="0"/>
    <x v="2"/>
  </r>
  <r>
    <x v="4"/>
    <x v="3"/>
    <x v="1"/>
    <x v="0"/>
    <x v="0"/>
    <x v="6"/>
    <x v="0"/>
    <x v="4"/>
  </r>
  <r>
    <x v="4"/>
    <x v="10"/>
    <x v="1"/>
    <x v="0"/>
    <x v="0"/>
    <x v="6"/>
    <x v="0"/>
    <x v="4"/>
  </r>
  <r>
    <x v="4"/>
    <x v="5"/>
    <x v="1"/>
    <x v="0"/>
    <x v="0"/>
    <x v="6"/>
    <x v="0"/>
    <x v="4"/>
  </r>
  <r>
    <x v="4"/>
    <x v="8"/>
    <x v="1"/>
    <x v="0"/>
    <x v="0"/>
    <x v="6"/>
    <x v="0"/>
    <x v="4"/>
  </r>
  <r>
    <x v="4"/>
    <x v="2"/>
    <x v="0"/>
    <x v="0"/>
    <x v="0"/>
    <x v="0"/>
    <x v="0"/>
    <x v="0"/>
  </r>
  <r>
    <x v="0"/>
    <x v="3"/>
    <x v="1"/>
    <x v="1"/>
    <x v="5"/>
    <x v="1"/>
    <x v="0"/>
    <x v="1"/>
  </r>
  <r>
    <x v="0"/>
    <x v="0"/>
    <x v="1"/>
    <x v="1"/>
    <x v="5"/>
    <x v="1"/>
    <x v="0"/>
    <x v="1"/>
  </r>
  <r>
    <x v="0"/>
    <x v="9"/>
    <x v="1"/>
    <x v="1"/>
    <x v="5"/>
    <x v="1"/>
    <x v="0"/>
    <x v="1"/>
  </r>
  <r>
    <x v="0"/>
    <x v="2"/>
    <x v="1"/>
    <x v="1"/>
    <x v="5"/>
    <x v="1"/>
    <x v="0"/>
    <x v="1"/>
  </r>
  <r>
    <x v="2"/>
    <x v="3"/>
    <x v="1"/>
    <x v="1"/>
    <x v="3"/>
    <x v="3"/>
    <x v="0"/>
    <x v="5"/>
  </r>
  <r>
    <x v="2"/>
    <x v="0"/>
    <x v="1"/>
    <x v="1"/>
    <x v="3"/>
    <x v="3"/>
    <x v="0"/>
    <x v="5"/>
  </r>
  <r>
    <x v="2"/>
    <x v="9"/>
    <x v="1"/>
    <x v="1"/>
    <x v="3"/>
    <x v="3"/>
    <x v="0"/>
    <x v="5"/>
  </r>
  <r>
    <x v="2"/>
    <x v="4"/>
    <x v="1"/>
    <x v="1"/>
    <x v="3"/>
    <x v="3"/>
    <x v="0"/>
    <x v="5"/>
  </r>
  <r>
    <x v="2"/>
    <x v="1"/>
    <x v="1"/>
    <x v="1"/>
    <x v="3"/>
    <x v="3"/>
    <x v="0"/>
    <x v="5"/>
  </r>
  <r>
    <x v="2"/>
    <x v="11"/>
    <x v="1"/>
    <x v="1"/>
    <x v="3"/>
    <x v="3"/>
    <x v="0"/>
    <x v="5"/>
  </r>
  <r>
    <x v="2"/>
    <x v="2"/>
    <x v="0"/>
    <x v="1"/>
    <x v="3"/>
    <x v="0"/>
    <x v="0"/>
    <x v="0"/>
  </r>
  <r>
    <x v="1"/>
    <x v="3"/>
    <x v="1"/>
    <x v="1"/>
    <x v="4"/>
    <x v="2"/>
    <x v="0"/>
    <x v="3"/>
  </r>
  <r>
    <x v="1"/>
    <x v="0"/>
    <x v="1"/>
    <x v="1"/>
    <x v="4"/>
    <x v="2"/>
    <x v="0"/>
    <x v="3"/>
  </r>
  <r>
    <x v="1"/>
    <x v="11"/>
    <x v="1"/>
    <x v="1"/>
    <x v="4"/>
    <x v="2"/>
    <x v="0"/>
    <x v="3"/>
  </r>
  <r>
    <x v="1"/>
    <x v="2"/>
    <x v="1"/>
    <x v="1"/>
    <x v="4"/>
    <x v="2"/>
    <x v="0"/>
    <x v="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Сводная таблица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I1:J14" firstHeaderRow="1" firstDataRow="1" firstDataCol="1"/>
  <pivotFields count="8">
    <pivotField showAll="0"/>
    <pivotField axis="axisRow" showAll="0">
      <items count="13">
        <item x="0"/>
        <item x="1"/>
        <item x="2"/>
        <item x="4"/>
        <item x="6"/>
        <item x="7"/>
        <item x="11"/>
        <item x="3"/>
        <item x="10"/>
        <item x="5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dataFields count="1">
    <dataField name="Сумма по полю Итого" fld="7" subtotal="sum" numFmtId="167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2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L38" activeCellId="0" sqref="L38"/>
    </sheetView>
  </sheetViews>
  <sheetFormatPr defaultColWidth="11.5078125" defaultRowHeight="15" zeroHeight="false" outlineLevelRow="0" outlineLevelCol="0"/>
  <cols>
    <col collapsed="false" customWidth="true" hidden="false" outlineLevel="0" max="1" min="1" style="1" width="31.67"/>
    <col collapsed="false" customWidth="true" hidden="false" outlineLevel="0" max="2" min="2" style="1" width="31.5"/>
    <col collapsed="false" customWidth="true" hidden="false" outlineLevel="0" max="3" min="3" style="1" width="18.16"/>
    <col collapsed="false" customWidth="true" hidden="false" outlineLevel="0" max="4" min="4" style="1" width="17.83"/>
    <col collapsed="false" customWidth="true" hidden="false" outlineLevel="0" max="5" min="5" style="1" width="19.16"/>
    <col collapsed="false" customWidth="true" hidden="false" outlineLevel="0" max="6" min="6" style="1" width="28.33"/>
    <col collapsed="false" customWidth="true" hidden="false" outlineLevel="0" max="7" min="7" style="1" width="18.67"/>
    <col collapsed="false" customWidth="true" hidden="false" outlineLevel="0" max="8" min="8" style="1" width="17"/>
    <col collapsed="false" customWidth="true" hidden="false" outlineLevel="0" max="9" min="9" style="1" width="41.33"/>
    <col collapsed="false" customWidth="true" hidden="false" outlineLevel="0" max="10" min="10" style="1" width="19"/>
    <col collapsed="false" customWidth="true" hidden="false" outlineLevel="0" max="11" min="11" style="1" width="18.16"/>
    <col collapsed="false" customWidth="true" hidden="false" outlineLevel="0" max="12" min="12" style="1" width="26.67"/>
    <col collapsed="false" customWidth="true" hidden="false" outlineLevel="0" max="13" min="13" style="1" width="35.16"/>
    <col collapsed="false" customWidth="true" hidden="false" outlineLevel="0" max="14" min="14" style="1" width="17.83"/>
    <col collapsed="false" customWidth="true" hidden="false" outlineLevel="0" max="15" min="15" style="1" width="23.83"/>
    <col collapsed="false" customWidth="true" hidden="false" outlineLevel="0" max="16" min="16" style="1" width="23.5"/>
    <col collapsed="false" customWidth="true" hidden="false" outlineLevel="0" max="17" min="17" style="1" width="26"/>
    <col collapsed="false" customWidth="true" hidden="false" outlineLevel="0" max="18" min="18" style="1" width="10.51"/>
    <col collapsed="false" customWidth="true" hidden="false" outlineLevel="0" max="19" min="19" style="1" width="34.16"/>
    <col collapsed="false" customWidth="true" hidden="false" outlineLevel="0" max="20" min="20" style="1" width="53.6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</v>
      </c>
      <c r="J1" s="3" t="s">
        <v>8</v>
      </c>
      <c r="M1" s="4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3</v>
      </c>
      <c r="S1" s="6" t="s">
        <v>14</v>
      </c>
      <c r="T1" s="7" t="s">
        <v>15</v>
      </c>
      <c r="U1" s="8" t="s">
        <v>16</v>
      </c>
      <c r="V1" s="8" t="s">
        <v>17</v>
      </c>
      <c r="W1" s="9" t="s">
        <v>18</v>
      </c>
      <c r="Z1" s="5" t="s">
        <v>3</v>
      </c>
    </row>
    <row r="2" customFormat="false" ht="13.8" hidden="false" customHeight="false" outlineLevel="0" collapsed="false">
      <c r="A2" s="10" t="s">
        <v>19</v>
      </c>
      <c r="B2" s="10" t="s">
        <v>20</v>
      </c>
      <c r="C2" s="11" t="n">
        <v>1</v>
      </c>
      <c r="D2" s="12" t="n">
        <f aca="false">VLOOKUP(A2,$M$1:$X$8,6,FALSE())</f>
        <v>2</v>
      </c>
      <c r="E2" s="1" t="n">
        <f aca="false">VLOOKUP(A2,$M$1:$X$8,5,FALSE())</f>
        <v>42</v>
      </c>
      <c r="F2" s="13" t="n">
        <f aca="false">60/E2*C2</f>
        <v>1.42857142857143</v>
      </c>
      <c r="G2" s="1" t="n">
        <f aca="false">VLOOKUP(A2,$M$1:$X$8,9,FALSE())</f>
        <v>20</v>
      </c>
      <c r="H2" s="14" t="n">
        <f aca="false">D2*F2*G2</f>
        <v>57.1428571428571</v>
      </c>
      <c r="I2" s="15" t="s">
        <v>21</v>
      </c>
      <c r="J2" s="16" t="n">
        <v>148.791208791209</v>
      </c>
      <c r="M2" s="17" t="s">
        <v>19</v>
      </c>
      <c r="N2" s="18" t="n">
        <v>1</v>
      </c>
      <c r="O2" s="19" t="n">
        <f aca="false">3*7</f>
        <v>21</v>
      </c>
      <c r="P2" s="20" t="n">
        <f aca="false">N2+O2</f>
        <v>22</v>
      </c>
      <c r="Q2" s="21" t="n">
        <v>42</v>
      </c>
      <c r="R2" s="22" t="n">
        <v>2</v>
      </c>
      <c r="S2" s="23" t="n">
        <f aca="false">R2/W$2</f>
        <v>0.2</v>
      </c>
      <c r="T2" s="24" t="n">
        <f aca="false">60/(Q2)</f>
        <v>1.42857142857143</v>
      </c>
      <c r="U2" s="25" t="n">
        <v>20</v>
      </c>
      <c r="V2" s="26" t="n">
        <f aca="false">ROUND(R2*T2*U2,0)</f>
        <v>57</v>
      </c>
      <c r="W2" s="27" t="n">
        <f aca="false">SUM(R2:R7)</f>
        <v>10</v>
      </c>
      <c r="Z2" s="22" t="n">
        <v>2</v>
      </c>
    </row>
    <row r="3" customFormat="false" ht="13.8" hidden="false" customHeight="false" outlineLevel="0" collapsed="false">
      <c r="A3" s="10" t="s">
        <v>19</v>
      </c>
      <c r="B3" s="10" t="s">
        <v>21</v>
      </c>
      <c r="C3" s="11" t="n">
        <v>1</v>
      </c>
      <c r="D3" s="28" t="n">
        <f aca="false">VLOOKUP(A3,$M$1:$X$8,6,FALSE())</f>
        <v>2</v>
      </c>
      <c r="E3" s="1" t="n">
        <f aca="false">VLOOKUP(A3,$M$1:$X$8,5,FALSE())</f>
        <v>42</v>
      </c>
      <c r="F3" s="13" t="n">
        <f aca="false">60/E3*C3</f>
        <v>1.42857142857143</v>
      </c>
      <c r="G3" s="1" t="n">
        <f aca="false">VLOOKUP(A3,$M$1:$X$8,9,FALSE())</f>
        <v>20</v>
      </c>
      <c r="H3" s="14" t="n">
        <f aca="false">D3*F3*G3</f>
        <v>57.1428571428571</v>
      </c>
      <c r="I3" s="29" t="s">
        <v>22</v>
      </c>
      <c r="J3" s="30" t="n">
        <v>94.6428571428571</v>
      </c>
      <c r="M3" s="17" t="s">
        <v>23</v>
      </c>
      <c r="N3" s="18" t="n">
        <v>5</v>
      </c>
      <c r="O3" s="19" t="n">
        <f aca="false">3*5</f>
        <v>15</v>
      </c>
      <c r="P3" s="20" t="n">
        <f aca="false">N3+O3</f>
        <v>20</v>
      </c>
      <c r="Q3" s="21" t="n">
        <v>52</v>
      </c>
      <c r="R3" s="22" t="n">
        <v>1</v>
      </c>
      <c r="S3" s="23" t="n">
        <f aca="false">R3/W$2</f>
        <v>0.1</v>
      </c>
      <c r="T3" s="24" t="n">
        <f aca="false">60/(Q3)</f>
        <v>1.15384615384615</v>
      </c>
      <c r="U3" s="25" t="n">
        <v>20</v>
      </c>
      <c r="V3" s="26" t="n">
        <f aca="false">ROUND(R3*T3*U3,0)</f>
        <v>23</v>
      </c>
      <c r="W3" s="27"/>
      <c r="Z3" s="22" t="n">
        <v>1</v>
      </c>
    </row>
    <row r="4" customFormat="false" ht="13.8" hidden="false" customHeight="false" outlineLevel="0" collapsed="false">
      <c r="A4" s="10" t="s">
        <v>19</v>
      </c>
      <c r="B4" s="10" t="s">
        <v>24</v>
      </c>
      <c r="C4" s="11" t="n">
        <v>1</v>
      </c>
      <c r="D4" s="28" t="n">
        <f aca="false">VLOOKUP(A5,$M$1:$X$8,6,FALSE())</f>
        <v>2</v>
      </c>
      <c r="E4" s="1" t="n">
        <f aca="false">VLOOKUP(A5,$M$1:$X$8,5,FALSE())</f>
        <v>42</v>
      </c>
      <c r="F4" s="13" t="n">
        <f aca="false">60/E4*C4</f>
        <v>1.42857142857143</v>
      </c>
      <c r="G4" s="1" t="n">
        <f aca="false">VLOOKUP(A4,$M$1:$X$8,9,FALSE())</f>
        <v>20</v>
      </c>
      <c r="H4" s="14" t="n">
        <f aca="false">D4*F4*G4</f>
        <v>57.1428571428571</v>
      </c>
      <c r="I4" s="29" t="s">
        <v>25</v>
      </c>
      <c r="J4" s="30" t="n">
        <v>111.291208791209</v>
      </c>
      <c r="M4" s="17" t="s">
        <v>26</v>
      </c>
      <c r="N4" s="18" t="n">
        <v>3</v>
      </c>
      <c r="O4" s="19" t="n">
        <f aca="false">3*4</f>
        <v>12</v>
      </c>
      <c r="P4" s="20" t="n">
        <f aca="false">N4+O4</f>
        <v>15</v>
      </c>
      <c r="Q4" s="21" t="n">
        <v>38</v>
      </c>
      <c r="R4" s="22" t="n">
        <v>1</v>
      </c>
      <c r="S4" s="23" t="n">
        <f aca="false">R4/W$2</f>
        <v>0.1</v>
      </c>
      <c r="T4" s="24" t="n">
        <f aca="false">60/(Q4)</f>
        <v>1.57894736842105</v>
      </c>
      <c r="U4" s="25" t="n">
        <v>20</v>
      </c>
      <c r="V4" s="26" t="n">
        <f aca="false">ROUND(R4*T4*U4,0)</f>
        <v>32</v>
      </c>
      <c r="W4" s="27"/>
      <c r="Z4" s="22" t="n">
        <v>1</v>
      </c>
    </row>
    <row r="5" customFormat="false" ht="13.8" hidden="false" customHeight="false" outlineLevel="0" collapsed="false">
      <c r="A5" s="10" t="s">
        <v>19</v>
      </c>
      <c r="B5" s="10" t="s">
        <v>27</v>
      </c>
      <c r="C5" s="11" t="n">
        <v>1</v>
      </c>
      <c r="D5" s="28" t="n">
        <f aca="false">VLOOKUP(A6,$M$1:$X$8,6,FALSE())</f>
        <v>2</v>
      </c>
      <c r="E5" s="1" t="n">
        <f aca="false">VLOOKUP(A6,$M$1:$X$8,5,FALSE())</f>
        <v>42</v>
      </c>
      <c r="F5" s="13" t="n">
        <f aca="false">60/E5*C5</f>
        <v>1.42857142857143</v>
      </c>
      <c r="G5" s="1" t="n">
        <f aca="false">VLOOKUP(A5,$M$1:$X$8,9,FALSE())</f>
        <v>20</v>
      </c>
      <c r="H5" s="14" t="n">
        <f aca="false">D5*F5*G5</f>
        <v>57.1428571428571</v>
      </c>
      <c r="I5" s="29" t="s">
        <v>27</v>
      </c>
      <c r="J5" s="30" t="n">
        <v>94.6428571428571</v>
      </c>
      <c r="M5" s="17" t="s">
        <v>28</v>
      </c>
      <c r="N5" s="18" t="n">
        <v>3</v>
      </c>
      <c r="O5" s="19" t="n">
        <f aca="false">3*6</f>
        <v>18</v>
      </c>
      <c r="P5" s="20" t="n">
        <v>30</v>
      </c>
      <c r="Q5" s="21" t="n">
        <v>64</v>
      </c>
      <c r="R5" s="22" t="n">
        <v>2</v>
      </c>
      <c r="S5" s="23" t="n">
        <f aca="false">R5/W$2</f>
        <v>0.2</v>
      </c>
      <c r="T5" s="24" t="n">
        <f aca="false">60/(Q5)</f>
        <v>0.9375</v>
      </c>
      <c r="U5" s="25" t="n">
        <v>20</v>
      </c>
      <c r="V5" s="26" t="n">
        <f aca="false">ROUND(R5*T5*U5,0)</f>
        <v>38</v>
      </c>
      <c r="W5" s="27"/>
      <c r="Z5" s="22" t="n">
        <v>2</v>
      </c>
    </row>
    <row r="6" customFormat="false" ht="13.8" hidden="false" customHeight="false" outlineLevel="0" collapsed="false">
      <c r="A6" s="10" t="s">
        <v>19</v>
      </c>
      <c r="B6" s="10" t="s">
        <v>22</v>
      </c>
      <c r="C6" s="11" t="n">
        <v>1</v>
      </c>
      <c r="D6" s="28" t="n">
        <f aca="false">VLOOKUP(A6,$M$1:$X$8,6,FALSE())</f>
        <v>2</v>
      </c>
      <c r="E6" s="1" t="n">
        <f aca="false">VLOOKUP(A6,$M$1:$X$8,5,FALSE())</f>
        <v>42</v>
      </c>
      <c r="F6" s="13" t="n">
        <f aca="false">60/E6*C6</f>
        <v>1.42857142857143</v>
      </c>
      <c r="G6" s="1" t="n">
        <f aca="false">VLOOKUP(A6,$M$1:$X$8,9,FALSE())</f>
        <v>20</v>
      </c>
      <c r="H6" s="14" t="n">
        <f aca="false">D6*F6*G6</f>
        <v>57.1428571428571</v>
      </c>
      <c r="I6" s="29" t="s">
        <v>29</v>
      </c>
      <c r="J6" s="30" t="n">
        <v>57.1428571428571</v>
      </c>
      <c r="M6" s="17" t="s">
        <v>30</v>
      </c>
      <c r="N6" s="18" t="n">
        <v>3</v>
      </c>
      <c r="O6" s="19" t="n">
        <f aca="false">3*4</f>
        <v>12</v>
      </c>
      <c r="P6" s="20" t="n">
        <f aca="false">N6+O6</f>
        <v>15</v>
      </c>
      <c r="Q6" s="21" t="n">
        <v>84</v>
      </c>
      <c r="R6" s="22" t="n">
        <v>2</v>
      </c>
      <c r="S6" s="23" t="n">
        <f aca="false">R6/W$2</f>
        <v>0.2</v>
      </c>
      <c r="T6" s="24" t="n">
        <f aca="false">60/(Q6)</f>
        <v>0.714285714285714</v>
      </c>
      <c r="U6" s="25" t="n">
        <v>20</v>
      </c>
      <c r="V6" s="26" t="n">
        <f aca="false">ROUND(R6*T6*U6,0)</f>
        <v>29</v>
      </c>
      <c r="W6" s="27"/>
      <c r="Z6" s="22" t="n">
        <v>2</v>
      </c>
    </row>
    <row r="7" customFormat="false" ht="13.8" hidden="false" customHeight="false" outlineLevel="0" collapsed="false">
      <c r="A7" s="31" t="s">
        <v>19</v>
      </c>
      <c r="B7" s="10" t="s">
        <v>29</v>
      </c>
      <c r="C7" s="32" t="n">
        <v>1</v>
      </c>
      <c r="D7" s="28" t="n">
        <f aca="false">VLOOKUP(A7,$M$1:$X$8,6,FALSE())</f>
        <v>2</v>
      </c>
      <c r="E7" s="1" t="n">
        <f aca="false">VLOOKUP(A7,$M$1:$X$8,5,FALSE())</f>
        <v>42</v>
      </c>
      <c r="F7" s="13" t="n">
        <f aca="false">60/E7*C7</f>
        <v>1.42857142857143</v>
      </c>
      <c r="G7" s="1" t="n">
        <f aca="false">VLOOKUP(A7,$M$1:$X$8,9,FALSE())</f>
        <v>20</v>
      </c>
      <c r="H7" s="14" t="n">
        <f aca="false">D7*F7*G7</f>
        <v>57.1428571428571</v>
      </c>
      <c r="I7" s="29" t="s">
        <v>31</v>
      </c>
      <c r="J7" s="30" t="n">
        <v>23.0769230769231</v>
      </c>
      <c r="M7" s="17" t="s">
        <v>32</v>
      </c>
      <c r="N7" s="18" t="n">
        <v>0.61</v>
      </c>
      <c r="O7" s="19" t="n">
        <f aca="false">3*4</f>
        <v>12</v>
      </c>
      <c r="P7" s="20" t="n">
        <f aca="false">N7+O7</f>
        <v>12.61</v>
      </c>
      <c r="Q7" s="21" t="n">
        <v>960</v>
      </c>
      <c r="R7" s="22" t="n">
        <v>2</v>
      </c>
      <c r="S7" s="23" t="n">
        <f aca="false">R7/W$2</f>
        <v>0.2</v>
      </c>
      <c r="T7" s="24" t="n">
        <f aca="false">60/(Q7)</f>
        <v>0.0625</v>
      </c>
      <c r="U7" s="25" t="n">
        <v>20</v>
      </c>
      <c r="V7" s="26" t="n">
        <f aca="false">SUM(V2:V6)</f>
        <v>179</v>
      </c>
      <c r="W7" s="27"/>
      <c r="Z7" s="22" t="n">
        <v>2</v>
      </c>
    </row>
    <row r="8" customFormat="false" ht="13.8" hidden="false" customHeight="false" outlineLevel="0" collapsed="false">
      <c r="A8" s="10" t="s">
        <v>19</v>
      </c>
      <c r="B8" s="10" t="s">
        <v>25</v>
      </c>
      <c r="C8" s="11" t="n">
        <v>1</v>
      </c>
      <c r="D8" s="28" t="n">
        <f aca="false">VLOOKUP(A8,$M$1:$X$8,6,FALSE())</f>
        <v>2</v>
      </c>
      <c r="E8" s="1" t="n">
        <f aca="false">VLOOKUP(A8,$M$1:$X$8,5,FALSE())</f>
        <v>42</v>
      </c>
      <c r="F8" s="13" t="n">
        <f aca="false">60/E8*C8</f>
        <v>1.42857142857143</v>
      </c>
      <c r="G8" s="1" t="n">
        <f aca="false">VLOOKUP(A8,$M$1:$X$8,9,FALSE())</f>
        <v>20</v>
      </c>
      <c r="H8" s="14" t="n">
        <f aca="false">D8*F8*G8</f>
        <v>57.1428571428571</v>
      </c>
      <c r="I8" s="29" t="s">
        <v>33</v>
      </c>
      <c r="J8" s="30" t="n">
        <v>89.1483516483517</v>
      </c>
      <c r="M8" s="33"/>
      <c r="N8" s="34"/>
      <c r="O8" s="34"/>
      <c r="P8" s="34"/>
      <c r="Q8" s="34"/>
      <c r="R8" s="34"/>
      <c r="S8" s="35" t="n">
        <f aca="false">SUM(S2:S7)</f>
        <v>1</v>
      </c>
      <c r="T8" s="36"/>
      <c r="U8" s="34"/>
      <c r="V8" s="34"/>
      <c r="W8" s="37"/>
    </row>
    <row r="9" customFormat="false" ht="13.8" hidden="false" customHeight="false" outlineLevel="0" collapsed="false">
      <c r="A9" s="10" t="s">
        <v>23</v>
      </c>
      <c r="B9" s="10" t="s">
        <v>20</v>
      </c>
      <c r="C9" s="10" t="n">
        <v>1</v>
      </c>
      <c r="D9" s="9" t="n">
        <f aca="false">VLOOKUP(A9,$M$1:$X$8,6,FALSE())</f>
        <v>1</v>
      </c>
      <c r="E9" s="14" t="n">
        <f aca="false">VLOOKUP(A9,$M$1:$X$8,5,FALSE())</f>
        <v>52</v>
      </c>
      <c r="F9" s="13" t="n">
        <f aca="false">60/E9*C9</f>
        <v>1.15384615384615</v>
      </c>
      <c r="G9" s="1" t="n">
        <f aca="false">VLOOKUP(A9,$M$1:$X$8,9,FALSE())</f>
        <v>20</v>
      </c>
      <c r="H9" s="14" t="n">
        <f aca="false">D9*F9*G9</f>
        <v>23.0769230769231</v>
      </c>
      <c r="I9" s="29" t="s">
        <v>20</v>
      </c>
      <c r="J9" s="30" t="n">
        <v>180.37015615963</v>
      </c>
    </row>
    <row r="10" customFormat="false" ht="13.8" hidden="false" customHeight="false" outlineLevel="0" collapsed="false">
      <c r="A10" s="10" t="s">
        <v>23</v>
      </c>
      <c r="B10" s="10" t="s">
        <v>21</v>
      </c>
      <c r="C10" s="10" t="n">
        <v>1</v>
      </c>
      <c r="D10" s="27" t="n">
        <f aca="false">VLOOKUP(A10,$M$1:$X$8,6,FALSE())</f>
        <v>1</v>
      </c>
      <c r="E10" s="14" t="n">
        <f aca="false">VLOOKUP(A10,$M$1:$X$8,5,FALSE())</f>
        <v>52</v>
      </c>
      <c r="F10" s="13" t="n">
        <f aca="false">60/E10*C10</f>
        <v>1.15384615384615</v>
      </c>
      <c r="G10" s="1" t="n">
        <f aca="false">VLOOKUP(A10,$M$1:$X$8,9,FALSE())</f>
        <v>20</v>
      </c>
      <c r="H10" s="14" t="n">
        <f aca="false">D10*F10*G10</f>
        <v>23.0769230769231</v>
      </c>
      <c r="I10" s="29" t="s">
        <v>34</v>
      </c>
      <c r="J10" s="30" t="n">
        <v>31.5789473684211</v>
      </c>
    </row>
    <row r="11" customFormat="false" ht="13.8" hidden="false" customHeight="false" outlineLevel="0" collapsed="false">
      <c r="A11" s="10" t="s">
        <v>23</v>
      </c>
      <c r="B11" s="10" t="s">
        <v>33</v>
      </c>
      <c r="C11" s="10" t="n">
        <v>1</v>
      </c>
      <c r="D11" s="27" t="n">
        <f aca="false">VLOOKUP(A11,$M$1:$X$8,6,FALSE())</f>
        <v>1</v>
      </c>
      <c r="E11" s="14" t="n">
        <f aca="false">VLOOKUP(A11,$M$1:$X$8,5,FALSE())</f>
        <v>52</v>
      </c>
      <c r="F11" s="13" t="n">
        <f aca="false">60/E11*C11</f>
        <v>1.15384615384615</v>
      </c>
      <c r="G11" s="1" t="n">
        <f aca="false">VLOOKUP(A11,$M$1:$X$8,9,FALSE())</f>
        <v>20</v>
      </c>
      <c r="H11" s="14" t="n">
        <f aca="false">D11*F11*G11</f>
        <v>23.0769230769231</v>
      </c>
      <c r="I11" s="29" t="s">
        <v>35</v>
      </c>
      <c r="J11" s="30" t="n">
        <v>31.5789473684211</v>
      </c>
    </row>
    <row r="12" customFormat="false" ht="13.8" hidden="false" customHeight="false" outlineLevel="0" collapsed="false">
      <c r="A12" s="10" t="s">
        <v>23</v>
      </c>
      <c r="B12" s="10" t="s">
        <v>31</v>
      </c>
      <c r="C12" s="10" t="n">
        <v>1</v>
      </c>
      <c r="D12" s="27" t="n">
        <f aca="false">VLOOKUP(A12,$M$1:$X$8,6,FALSE())</f>
        <v>1</v>
      </c>
      <c r="E12" s="14" t="n">
        <f aca="false">VLOOKUP(A12,$M$1:$X$8,5,FALSE())</f>
        <v>52</v>
      </c>
      <c r="F12" s="13" t="n">
        <f aca="false">60/E12*C12</f>
        <v>1.15384615384615</v>
      </c>
      <c r="G12" s="1" t="n">
        <f aca="false">VLOOKUP(A12,$M$1:$X$8,9,FALSE())</f>
        <v>20</v>
      </c>
      <c r="H12" s="14" t="n">
        <f aca="false">D12*F12*G12</f>
        <v>23.0769230769231</v>
      </c>
      <c r="I12" s="29" t="s">
        <v>36</v>
      </c>
      <c r="J12" s="30" t="n">
        <v>31.5789473684211</v>
      </c>
    </row>
    <row r="13" customFormat="false" ht="13.8" hidden="false" customHeight="false" outlineLevel="0" collapsed="false">
      <c r="A13" s="10" t="s">
        <v>23</v>
      </c>
      <c r="B13" s="10" t="s">
        <v>25</v>
      </c>
      <c r="C13" s="10" t="n">
        <v>1</v>
      </c>
      <c r="D13" s="37" t="n">
        <f aca="false">VLOOKUP(A13,$M$1:$X$8,6,FALSE())</f>
        <v>1</v>
      </c>
      <c r="E13" s="14" t="n">
        <f aca="false">VLOOKUP(A13,$M$1:$X$8,5,FALSE())</f>
        <v>52</v>
      </c>
      <c r="F13" s="13" t="n">
        <f aca="false">60/E13*C13</f>
        <v>1.15384615384615</v>
      </c>
      <c r="G13" s="1" t="n">
        <f aca="false">VLOOKUP(A13,$M$1:$X$8,9,FALSE())</f>
        <v>20</v>
      </c>
      <c r="H13" s="14" t="n">
        <f aca="false">D13*F13*G13</f>
        <v>23.0769230769231</v>
      </c>
      <c r="I13" s="29" t="s">
        <v>24</v>
      </c>
      <c r="J13" s="38" t="n">
        <v>97.1428571428571</v>
      </c>
    </row>
    <row r="14" customFormat="false" ht="13.8" hidden="false" customHeight="false" outlineLevel="0" collapsed="false">
      <c r="A14" s="10" t="s">
        <v>26</v>
      </c>
      <c r="B14" s="10" t="s">
        <v>20</v>
      </c>
      <c r="C14" s="10" t="n">
        <v>1</v>
      </c>
      <c r="D14" s="9" t="n">
        <f aca="false">VLOOKUP(A14,$M$1:$X$8,6,FALSE())</f>
        <v>1</v>
      </c>
      <c r="E14" s="14" t="n">
        <f aca="false">VLOOKUP(A14,$M$1:$X$8,5,FALSE())</f>
        <v>38</v>
      </c>
      <c r="F14" s="13" t="n">
        <f aca="false">60/E14*C14</f>
        <v>1.57894736842105</v>
      </c>
      <c r="G14" s="1" t="n">
        <f aca="false">VLOOKUP(A14,$M$1:$X$8,9,FALSE())</f>
        <v>20</v>
      </c>
      <c r="H14" s="14" t="n">
        <f aca="false">D14*F14*G14</f>
        <v>31.5789473684211</v>
      </c>
      <c r="I14" s="39" t="s">
        <v>37</v>
      </c>
      <c r="J14" s="40" t="n">
        <v>990.986119144014</v>
      </c>
    </row>
    <row r="15" customFormat="false" ht="13.8" hidden="false" customHeight="false" outlineLevel="0" collapsed="false">
      <c r="A15" s="10" t="s">
        <v>26</v>
      </c>
      <c r="B15" s="10" t="s">
        <v>34</v>
      </c>
      <c r="C15" s="10" t="n">
        <v>1</v>
      </c>
      <c r="D15" s="27" t="n">
        <f aca="false">VLOOKUP(A15,$M$1:$X$8,6,FALSE())</f>
        <v>1</v>
      </c>
      <c r="E15" s="14" t="n">
        <f aca="false">VLOOKUP(A15,$M$1:$X$8,5,FALSE())</f>
        <v>38</v>
      </c>
      <c r="F15" s="13" t="n">
        <f aca="false">60/E15*C15</f>
        <v>1.57894736842105</v>
      </c>
      <c r="G15" s="1" t="n">
        <f aca="false">VLOOKUP(A15,$M$1:$X$8,9,FALSE())</f>
        <v>20</v>
      </c>
      <c r="H15" s="14" t="n">
        <f aca="false">D15*F15*G15</f>
        <v>31.5789473684211</v>
      </c>
    </row>
    <row r="16" customFormat="false" ht="13.8" hidden="false" customHeight="false" outlineLevel="0" collapsed="false">
      <c r="A16" s="10" t="s">
        <v>26</v>
      </c>
      <c r="B16" s="10" t="s">
        <v>35</v>
      </c>
      <c r="C16" s="10" t="n">
        <v>1</v>
      </c>
      <c r="D16" s="27" t="n">
        <f aca="false">VLOOKUP(A16,$M$1:$X$8,6,FALSE())</f>
        <v>1</v>
      </c>
      <c r="E16" s="14" t="n">
        <f aca="false">VLOOKUP(A16,$M$1:$X$8,5,FALSE())</f>
        <v>38</v>
      </c>
      <c r="F16" s="13" t="n">
        <f aca="false">60/E16*C16</f>
        <v>1.57894736842105</v>
      </c>
      <c r="G16" s="1" t="n">
        <f aca="false">VLOOKUP(A16,$M$1:$X$8,9,FALSE())</f>
        <v>20</v>
      </c>
      <c r="H16" s="14" t="n">
        <f aca="false">D16*F16*G16</f>
        <v>31.5789473684211</v>
      </c>
    </row>
    <row r="17" customFormat="false" ht="13.8" hidden="false" customHeight="false" outlineLevel="0" collapsed="false">
      <c r="A17" s="10" t="s">
        <v>26</v>
      </c>
      <c r="B17" s="10" t="s">
        <v>36</v>
      </c>
      <c r="C17" s="10" t="n">
        <v>1</v>
      </c>
      <c r="D17" s="27" t="n">
        <f aca="false">VLOOKUP(A17,$M$1:$X$8,6,FALSE())</f>
        <v>1</v>
      </c>
      <c r="E17" s="14" t="n">
        <f aca="false">VLOOKUP(A17,$M$1:$X$8,5,FALSE())</f>
        <v>38</v>
      </c>
      <c r="F17" s="13" t="n">
        <f aca="false">60/E17*C17</f>
        <v>1.57894736842105</v>
      </c>
      <c r="G17" s="1" t="n">
        <f aca="false">VLOOKUP(A17,$M$1:$X$8,9,FALSE())</f>
        <v>20</v>
      </c>
      <c r="H17" s="14" t="n">
        <f aca="false">D17*F17*G17</f>
        <v>31.5789473684211</v>
      </c>
    </row>
    <row r="18" customFormat="false" ht="13.8" hidden="false" customHeight="false" outlineLevel="0" collapsed="false">
      <c r="A18" s="10" t="s">
        <v>26</v>
      </c>
      <c r="B18" s="10" t="s">
        <v>25</v>
      </c>
      <c r="C18" s="10" t="n">
        <v>0</v>
      </c>
      <c r="D18" s="27" t="n">
        <f aca="false">VLOOKUP(A18,$M$1:$X$8,6,FALSE())</f>
        <v>1</v>
      </c>
      <c r="E18" s="14" t="n">
        <f aca="false">VLOOKUP(A18,$M$1:$X$8,5,FALSE())</f>
        <v>38</v>
      </c>
      <c r="F18" s="13" t="n">
        <f aca="false">60/E18*C18</f>
        <v>0</v>
      </c>
      <c r="G18" s="1" t="n">
        <f aca="false">VLOOKUP(A18,$M$1:$X$8,9,FALSE())</f>
        <v>20</v>
      </c>
      <c r="H18" s="14" t="n">
        <f aca="false">D18*F18*G18</f>
        <v>0</v>
      </c>
    </row>
    <row r="19" customFormat="false" ht="13.8" hidden="false" customHeight="false" outlineLevel="0" collapsed="false">
      <c r="A19" s="10" t="s">
        <v>32</v>
      </c>
      <c r="B19" s="10" t="s">
        <v>20</v>
      </c>
      <c r="C19" s="11" t="n">
        <v>1</v>
      </c>
      <c r="D19" s="12" t="n">
        <f aca="false">VLOOKUP(A19,$M$1:$X$8,6,FALSE())</f>
        <v>2</v>
      </c>
      <c r="E19" s="1" t="n">
        <f aca="false">VLOOKUP(A19,$M$1:$X$8,5,FALSE())</f>
        <v>960</v>
      </c>
      <c r="F19" s="13" t="n">
        <f aca="false">60/E19*C19</f>
        <v>0.0625</v>
      </c>
      <c r="G19" s="1" t="n">
        <f aca="false">VLOOKUP(A19,$M$1:$X$8,9,FALSE())</f>
        <v>20</v>
      </c>
      <c r="H19" s="14" t="n">
        <f aca="false">D19*F19*G19</f>
        <v>2.5</v>
      </c>
    </row>
    <row r="20" customFormat="false" ht="13.8" hidden="false" customHeight="false" outlineLevel="0" collapsed="false">
      <c r="A20" s="10" t="s">
        <v>32</v>
      </c>
      <c r="B20" s="10" t="s">
        <v>21</v>
      </c>
      <c r="C20" s="11" t="n">
        <v>1</v>
      </c>
      <c r="D20" s="28" t="n">
        <f aca="false">VLOOKUP(A20,$M$1:$X$8,6,FALSE())</f>
        <v>2</v>
      </c>
      <c r="E20" s="1" t="n">
        <f aca="false">VLOOKUP(A20,$M$1:$X$8,5,FALSE())</f>
        <v>960</v>
      </c>
      <c r="F20" s="13" t="n">
        <f aca="false">60/E20*C20</f>
        <v>0.0625</v>
      </c>
      <c r="G20" s="1" t="n">
        <f aca="false">VLOOKUP(A20,$M$1:$X$8,9,FALSE())</f>
        <v>20</v>
      </c>
      <c r="H20" s="14" t="n">
        <f aca="false">D20*F20*G20</f>
        <v>2.5</v>
      </c>
    </row>
    <row r="21" customFormat="false" ht="13.8" hidden="false" customHeight="false" outlineLevel="0" collapsed="false">
      <c r="A21" s="10" t="s">
        <v>32</v>
      </c>
      <c r="B21" s="10" t="s">
        <v>24</v>
      </c>
      <c r="C21" s="32" t="n">
        <v>1</v>
      </c>
      <c r="D21" s="28" t="n">
        <f aca="false">VLOOKUP(A21,$M$1:$X$8,6,FALSE())</f>
        <v>2</v>
      </c>
      <c r="E21" s="1" t="n">
        <f aca="false">VLOOKUP(A21,$M$1:$X$8,5,FALSE())</f>
        <v>960</v>
      </c>
      <c r="F21" s="13" t="n">
        <f aca="false">60/E21*C21</f>
        <v>0.0625</v>
      </c>
      <c r="G21" s="1" t="n">
        <f aca="false">VLOOKUP(A21,$M$1:$X$8,9,FALSE())</f>
        <v>20</v>
      </c>
      <c r="H21" s="14" t="n">
        <f aca="false">D21*F21*G21</f>
        <v>2.5</v>
      </c>
    </row>
    <row r="22" customFormat="false" ht="13.8" hidden="false" customHeight="false" outlineLevel="0" collapsed="false">
      <c r="A22" s="10" t="s">
        <v>32</v>
      </c>
      <c r="B22" s="10" t="s">
        <v>25</v>
      </c>
      <c r="C22" s="11" t="n">
        <v>1</v>
      </c>
      <c r="D22" s="41" t="n">
        <f aca="false">VLOOKUP(A22,$M$1:$X$8,6,FALSE())</f>
        <v>2</v>
      </c>
      <c r="E22" s="1" t="n">
        <f aca="false">VLOOKUP(A22,$M$1:$X$8,5,FALSE())</f>
        <v>960</v>
      </c>
      <c r="F22" s="13" t="n">
        <f aca="false">60/E22*C22</f>
        <v>0.0625</v>
      </c>
      <c r="G22" s="1" t="n">
        <f aca="false">VLOOKUP(A22,$M$1:$X$8,9,FALSE())</f>
        <v>20</v>
      </c>
      <c r="H22" s="14" t="n">
        <f aca="false">D22*F22*G22</f>
        <v>2.5</v>
      </c>
    </row>
    <row r="23" customFormat="false" ht="13.8" hidden="false" customHeight="false" outlineLevel="0" collapsed="false">
      <c r="A23" s="10" t="s">
        <v>28</v>
      </c>
      <c r="B23" s="10" t="s">
        <v>20</v>
      </c>
      <c r="C23" s="10" t="n">
        <v>1</v>
      </c>
      <c r="D23" s="27" t="n">
        <f aca="false">VLOOKUP(A23,$M$1:$X$8,6,FALSE())</f>
        <v>2</v>
      </c>
      <c r="E23" s="1" t="n">
        <f aca="false">VLOOKUP(A23,$M$1:$X$8,5,FALSE())</f>
        <v>64</v>
      </c>
      <c r="F23" s="13" t="n">
        <f aca="false">60/E23*C23</f>
        <v>0.9375</v>
      </c>
      <c r="G23" s="1" t="n">
        <f aca="false">VLOOKUP(A23,$M$1:$X$8,9,FALSE())</f>
        <v>20</v>
      </c>
      <c r="H23" s="14" t="n">
        <f aca="false">D23*F23*G23</f>
        <v>37.5</v>
      </c>
    </row>
    <row r="24" customFormat="false" ht="13.8" hidden="false" customHeight="false" outlineLevel="0" collapsed="false">
      <c r="A24" s="10" t="s">
        <v>28</v>
      </c>
      <c r="B24" s="10" t="s">
        <v>21</v>
      </c>
      <c r="C24" s="10" t="n">
        <v>1</v>
      </c>
      <c r="D24" s="27" t="n">
        <f aca="false">VLOOKUP(A24,$M$1:$X$8,6,FALSE())</f>
        <v>2</v>
      </c>
      <c r="E24" s="1" t="n">
        <f aca="false">VLOOKUP(A24,$M$1:$X$8,5,FALSE())</f>
        <v>64</v>
      </c>
      <c r="F24" s="13" t="n">
        <f aca="false">60/E24*C24</f>
        <v>0.9375</v>
      </c>
      <c r="G24" s="1" t="n">
        <f aca="false">VLOOKUP(A24,$M$1:$X$8,9,FALSE())</f>
        <v>20</v>
      </c>
      <c r="H24" s="14" t="n">
        <f aca="false">D24*F24*G24</f>
        <v>37.5</v>
      </c>
    </row>
    <row r="25" customFormat="false" ht="13.8" hidden="false" customHeight="false" outlineLevel="0" collapsed="false">
      <c r="A25" s="10" t="s">
        <v>28</v>
      </c>
      <c r="B25" s="1" t="s">
        <v>24</v>
      </c>
      <c r="C25" s="32" t="n">
        <v>1</v>
      </c>
      <c r="D25" s="27" t="n">
        <f aca="false">VLOOKUP(A25,$M$1:$X$8,6,FALSE())</f>
        <v>2</v>
      </c>
      <c r="E25" s="1" t="n">
        <f aca="false">VLOOKUP(A25,$M$1:$X$8,5,FALSE())</f>
        <v>64</v>
      </c>
      <c r="F25" s="13" t="n">
        <f aca="false">60/E25*C25</f>
        <v>0.9375</v>
      </c>
      <c r="G25" s="1" t="n">
        <f aca="false">VLOOKUP(A25,$M$1:$X$8,9,FALSE())</f>
        <v>20</v>
      </c>
      <c r="H25" s="14" t="n">
        <f aca="false">D25*F25*G25</f>
        <v>37.5</v>
      </c>
    </row>
    <row r="26" customFormat="false" ht="13.8" hidden="false" customHeight="false" outlineLevel="0" collapsed="false">
      <c r="A26" s="10" t="s">
        <v>28</v>
      </c>
      <c r="B26" s="10" t="s">
        <v>27</v>
      </c>
      <c r="C26" s="10" t="n">
        <v>1</v>
      </c>
      <c r="D26" s="27" t="n">
        <f aca="false">VLOOKUP(A26,$M$1:$X$8,6,FALSE())</f>
        <v>2</v>
      </c>
      <c r="E26" s="1" t="n">
        <f aca="false">VLOOKUP(A26,$M$1:$X$8,5,FALSE())</f>
        <v>64</v>
      </c>
      <c r="F26" s="13" t="n">
        <f aca="false">60/E26*C26</f>
        <v>0.9375</v>
      </c>
      <c r="G26" s="1" t="n">
        <f aca="false">VLOOKUP(A26,$M$1:$X$8,9,FALSE())</f>
        <v>20</v>
      </c>
      <c r="H26" s="14" t="n">
        <f aca="false">D26*F26*G26</f>
        <v>37.5</v>
      </c>
    </row>
    <row r="27" customFormat="false" ht="13.8" hidden="false" customHeight="false" outlineLevel="0" collapsed="false">
      <c r="A27" s="10" t="s">
        <v>28</v>
      </c>
      <c r="B27" s="10" t="s">
        <v>22</v>
      </c>
      <c r="C27" s="10" t="n">
        <v>1</v>
      </c>
      <c r="D27" s="27" t="n">
        <f aca="false">VLOOKUP(A27,$M$1:$X$8,6,FALSE())</f>
        <v>2</v>
      </c>
      <c r="E27" s="1" t="n">
        <f aca="false">VLOOKUP(A27,$M$1:$X$8,5,FALSE())</f>
        <v>64</v>
      </c>
      <c r="F27" s="13" t="n">
        <f aca="false">60/E27*C27</f>
        <v>0.9375</v>
      </c>
      <c r="G27" s="1" t="n">
        <f aca="false">VLOOKUP(A27,$M$1:$X$8,9,FALSE())</f>
        <v>20</v>
      </c>
      <c r="H27" s="14" t="n">
        <f aca="false">D27*F27*G27</f>
        <v>37.5</v>
      </c>
    </row>
    <row r="28" customFormat="false" ht="13.8" hidden="false" customHeight="false" outlineLevel="0" collapsed="false">
      <c r="A28" s="10" t="s">
        <v>28</v>
      </c>
      <c r="B28" s="10" t="s">
        <v>33</v>
      </c>
      <c r="C28" s="32" t="n">
        <v>1</v>
      </c>
      <c r="D28" s="27" t="n">
        <f aca="false">VLOOKUP(A28,$M$1:$X$8,6,FALSE())</f>
        <v>2</v>
      </c>
      <c r="E28" s="1" t="n">
        <f aca="false">VLOOKUP(A28,$M$1:$X$8,5,FALSE())</f>
        <v>64</v>
      </c>
      <c r="F28" s="13" t="n">
        <f aca="false">60/E28*C28</f>
        <v>0.9375</v>
      </c>
      <c r="G28" s="1" t="n">
        <f aca="false">VLOOKUP(A28,$M$1:$X$8,9,FALSE())</f>
        <v>20</v>
      </c>
      <c r="H28" s="14" t="n">
        <f aca="false">D28*F28*G28</f>
        <v>37.5</v>
      </c>
    </row>
    <row r="29" customFormat="false" ht="13.8" hidden="false" customHeight="false" outlineLevel="0" collapsed="false">
      <c r="A29" s="10" t="s">
        <v>28</v>
      </c>
      <c r="B29" s="10" t="s">
        <v>25</v>
      </c>
      <c r="C29" s="10" t="n">
        <v>0</v>
      </c>
      <c r="D29" s="27" t="n">
        <f aca="false">VLOOKUP(A29,$M$1:$X$8,6,FALSE())</f>
        <v>2</v>
      </c>
      <c r="E29" s="1" t="n">
        <f aca="false">VLOOKUP(A29,$M$1:$X$8,5,FALSE())</f>
        <v>64</v>
      </c>
      <c r="F29" s="13" t="n">
        <f aca="false">60/E29*C29</f>
        <v>0</v>
      </c>
      <c r="G29" s="1" t="n">
        <f aca="false">VLOOKUP(A29,$M$1:$X$8,9,FALSE())</f>
        <v>20</v>
      </c>
      <c r="H29" s="14" t="n">
        <f aca="false">D29*F29*G29</f>
        <v>0</v>
      </c>
    </row>
    <row r="30" customFormat="false" ht="13.8" hidden="false" customHeight="false" outlineLevel="0" collapsed="false">
      <c r="A30" s="10" t="s">
        <v>30</v>
      </c>
      <c r="B30" s="10" t="s">
        <v>20</v>
      </c>
      <c r="C30" s="10" t="n">
        <v>1</v>
      </c>
      <c r="D30" s="9" t="n">
        <f aca="false">VLOOKUP(A30,$M$1:$X$8,6,FALSE())</f>
        <v>2</v>
      </c>
      <c r="E30" s="1" t="n">
        <f aca="false">VLOOKUP(A30,$M$1:$X$8,5,FALSE())</f>
        <v>84</v>
      </c>
      <c r="F30" s="13" t="n">
        <f aca="false">60/E30*C30</f>
        <v>0.714285714285714</v>
      </c>
      <c r="G30" s="1" t="n">
        <f aca="false">VLOOKUP(A30,$M$1:$X$8,9,FALSE())</f>
        <v>20</v>
      </c>
      <c r="H30" s="14" t="n">
        <f aca="false">D30*F30*G30</f>
        <v>28.5714285714286</v>
      </c>
    </row>
    <row r="31" customFormat="false" ht="13.8" hidden="false" customHeight="false" outlineLevel="0" collapsed="false">
      <c r="A31" s="10" t="s">
        <v>30</v>
      </c>
      <c r="B31" s="10" t="s">
        <v>21</v>
      </c>
      <c r="C31" s="10" t="n">
        <v>1</v>
      </c>
      <c r="D31" s="27" t="n">
        <f aca="false">VLOOKUP(A31,$M$1:$X$8,6,FALSE())</f>
        <v>2</v>
      </c>
      <c r="E31" s="1" t="n">
        <f aca="false">VLOOKUP(A31,$M$1:$X$8,5,FALSE())</f>
        <v>84</v>
      </c>
      <c r="F31" s="13" t="n">
        <f aca="false">60/E31*C31</f>
        <v>0.714285714285714</v>
      </c>
      <c r="G31" s="1" t="n">
        <f aca="false">VLOOKUP(A31,$M$1:$X$8,9,FALSE())</f>
        <v>20</v>
      </c>
      <c r="H31" s="14" t="n">
        <f aca="false">D31*F31*G31</f>
        <v>28.5714285714286</v>
      </c>
    </row>
    <row r="32" customFormat="false" ht="13.8" hidden="false" customHeight="false" outlineLevel="0" collapsed="false">
      <c r="A32" s="10" t="s">
        <v>30</v>
      </c>
      <c r="B32" s="10" t="s">
        <v>33</v>
      </c>
      <c r="C32" s="10" t="n">
        <v>1</v>
      </c>
      <c r="D32" s="27" t="n">
        <f aca="false">VLOOKUP(A32,$M$1:$X$8,6,FALSE())</f>
        <v>2</v>
      </c>
      <c r="E32" s="1" t="n">
        <f aca="false">VLOOKUP(A32,$M$1:$X$8,5,FALSE())</f>
        <v>84</v>
      </c>
      <c r="F32" s="13" t="n">
        <f aca="false">60/E32*C32</f>
        <v>0.714285714285714</v>
      </c>
      <c r="G32" s="1" t="n">
        <f aca="false">VLOOKUP(A32,$M$1:$X$8,9,FALSE())</f>
        <v>20</v>
      </c>
      <c r="H32" s="14" t="n">
        <f aca="false">D32*F32*G32</f>
        <v>28.5714285714286</v>
      </c>
    </row>
    <row r="33" customFormat="false" ht="13.8" hidden="false" customHeight="false" outlineLevel="0" collapsed="false">
      <c r="A33" s="10" t="s">
        <v>30</v>
      </c>
      <c r="B33" s="10" t="s">
        <v>25</v>
      </c>
      <c r="C33" s="10" t="n">
        <v>1</v>
      </c>
      <c r="D33" s="37" t="n">
        <f aca="false">VLOOKUP(A33,$M$1:$X$8,6,FALSE())</f>
        <v>2</v>
      </c>
      <c r="E33" s="1" t="n">
        <f aca="false">VLOOKUP(A33,$M$1:$X$8,5,FALSE())</f>
        <v>84</v>
      </c>
      <c r="F33" s="13" t="n">
        <f aca="false">60/E33*C33</f>
        <v>0.714285714285714</v>
      </c>
      <c r="G33" s="1" t="n">
        <f aca="false">VLOOKUP(A33,$M$1:$X$8,9,FALSE())</f>
        <v>20</v>
      </c>
      <c r="H33" s="14" t="n">
        <f aca="false">D33*F33*G33</f>
        <v>28.5714285714286</v>
      </c>
    </row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>
      <c r="A36" s="42" t="s">
        <v>38</v>
      </c>
      <c r="B36" s="42"/>
      <c r="C36" s="43" t="s">
        <v>39</v>
      </c>
      <c r="D36" s="43"/>
    </row>
    <row r="37" customFormat="false" ht="70.1" hidden="false" customHeight="false" outlineLevel="0" collapsed="false">
      <c r="A37" s="44" t="s">
        <v>40</v>
      </c>
      <c r="B37" s="45" t="s">
        <v>41</v>
      </c>
      <c r="C37" s="46" t="s">
        <v>42</v>
      </c>
      <c r="D37" s="46" t="s">
        <v>43</v>
      </c>
      <c r="E37" s="47"/>
      <c r="F37" s="48" t="s">
        <v>44</v>
      </c>
      <c r="G37" s="46" t="s">
        <v>45</v>
      </c>
      <c r="H37" s="46" t="s">
        <v>46</v>
      </c>
      <c r="I37" s="46" t="s">
        <v>47</v>
      </c>
    </row>
    <row r="38" customFormat="false" ht="18.65" hidden="false" customHeight="false" outlineLevel="0" collapsed="false">
      <c r="A38" s="44" t="s">
        <v>20</v>
      </c>
      <c r="B38" s="49" t="n">
        <v>520</v>
      </c>
      <c r="C38" s="20" t="n">
        <f aca="false">GETPIVOTDATA("Итого",$I$1,"transaction rq",A38)*3</f>
        <v>541.11046847889</v>
      </c>
      <c r="D38" s="50" t="n">
        <f aca="false">1-B38/C38</f>
        <v>0.0390132324333569</v>
      </c>
      <c r="E38" s="51"/>
      <c r="F38" s="52" t="str">
        <f aca="false">VLOOKUP(A38,Соответствие!A:B,2,FALSE())</f>
        <v>Welcome</v>
      </c>
      <c r="G38" s="53" t="n">
        <f aca="false">C38/3</f>
        <v>180.37015615963</v>
      </c>
      <c r="H38" s="10" t="n">
        <v>180</v>
      </c>
      <c r="I38" s="54" t="n">
        <f aca="false">1-G38/H38</f>
        <v>-0.00205642310905452</v>
      </c>
    </row>
    <row r="39" customFormat="false" ht="17.35" hidden="false" customHeight="false" outlineLevel="0" collapsed="false">
      <c r="A39" s="55" t="s">
        <v>21</v>
      </c>
      <c r="B39" s="49" t="n">
        <v>422</v>
      </c>
      <c r="C39" s="20" t="n">
        <f aca="false">GETPIVOTDATA("Итого",$I$1,"transaction rq",A39)*3</f>
        <v>446.373626373626</v>
      </c>
      <c r="D39" s="50" t="n">
        <f aca="false">1-B39/C39</f>
        <v>0.054603643525357</v>
      </c>
      <c r="E39" s="51"/>
      <c r="F39" s="52" t="str">
        <f aca="false">VLOOKUP(A39,Соответствие!A:B,2,FALSE())</f>
        <v>Login</v>
      </c>
      <c r="G39" s="53" t="n">
        <f aca="false">C39/3</f>
        <v>148.791208791209</v>
      </c>
      <c r="H39" s="10" t="n">
        <v>147</v>
      </c>
      <c r="I39" s="54" t="n">
        <f aca="false">1-G39/H39</f>
        <v>-0.0121850938177468</v>
      </c>
    </row>
    <row r="40" customFormat="false" ht="32.8" hidden="false" customHeight="false" outlineLevel="0" collapsed="false">
      <c r="A40" s="56" t="s">
        <v>24</v>
      </c>
      <c r="B40" s="49" t="n">
        <v>305</v>
      </c>
      <c r="C40" s="20" t="n">
        <f aca="false">GETPIVOTDATA("Итого",$I$1,"transaction rq",A40)*3</f>
        <v>291.428571428571</v>
      </c>
      <c r="D40" s="50" t="n">
        <f aca="false">1-B40/C40</f>
        <v>-0.0465686274509802</v>
      </c>
      <c r="E40" s="51"/>
      <c r="F40" s="52" t="str">
        <f aca="false">VLOOKUP(A40,Соответствие!A:B,2,FALSE())</f>
        <v>Flights</v>
      </c>
      <c r="G40" s="53" t="n">
        <f aca="false">C40/3</f>
        <v>97.1428571428572</v>
      </c>
      <c r="H40" s="10" t="n">
        <v>97</v>
      </c>
      <c r="I40" s="54" t="n">
        <f aca="false">1-G40/H40</f>
        <v>-0.00147275405007363</v>
      </c>
    </row>
    <row r="41" customFormat="false" ht="32.8" hidden="false" customHeight="false" outlineLevel="0" collapsed="false">
      <c r="A41" s="55" t="s">
        <v>27</v>
      </c>
      <c r="B41" s="49" t="n">
        <v>282</v>
      </c>
      <c r="C41" s="20" t="n">
        <f aca="false">GETPIVOTDATA("Итого",$I$1,"transaction rq",A41)*3</f>
        <v>283.928571428571</v>
      </c>
      <c r="D41" s="50" t="n">
        <f aca="false">1-B41/C41</f>
        <v>0.0067924528301887</v>
      </c>
      <c r="E41" s="51"/>
      <c r="F41" s="52" t="str">
        <f aca="false">VLOOKUP(A41,Соответствие!A:B,2,FALSE())</f>
        <v>Find_flight</v>
      </c>
      <c r="G41" s="53" t="n">
        <f aca="false">C41/3</f>
        <v>94.6428571428572</v>
      </c>
      <c r="H41" s="10" t="n">
        <v>95</v>
      </c>
      <c r="I41" s="54" t="n">
        <f aca="false">1-G41/H41</f>
        <v>0.00375939849624052</v>
      </c>
    </row>
    <row r="42" customFormat="false" ht="17.35" hidden="false" customHeight="false" outlineLevel="0" collapsed="false">
      <c r="A42" s="55" t="s">
        <v>22</v>
      </c>
      <c r="B42" s="49" t="n">
        <v>270</v>
      </c>
      <c r="C42" s="20" t="n">
        <f aca="false">GETPIVOTDATA("Итого",$I$1,"transaction rq",A42)*3</f>
        <v>283.928571428571</v>
      </c>
      <c r="D42" s="50" t="n">
        <f aca="false">1-B42/C42</f>
        <v>0.049056603773585</v>
      </c>
      <c r="E42" s="51"/>
      <c r="F42" s="52" t="str">
        <f aca="false">VLOOKUP(A42,Соответствие!A:B,2,FALSE())</f>
        <v>Payment_details</v>
      </c>
      <c r="G42" s="53" t="n">
        <f aca="false">C42/3</f>
        <v>94.6428571428572</v>
      </c>
      <c r="H42" s="10" t="n">
        <v>95</v>
      </c>
      <c r="I42" s="54" t="n">
        <f aca="false">1-G42/H42</f>
        <v>0.00375939849624052</v>
      </c>
    </row>
    <row r="43" customFormat="false" ht="17.35" hidden="false" customHeight="false" outlineLevel="0" collapsed="false">
      <c r="A43" s="55" t="s">
        <v>29</v>
      </c>
      <c r="B43" s="49" t="n">
        <v>175</v>
      </c>
      <c r="C43" s="20" t="n">
        <f aca="false">GETPIVOTDATA("Итого",$I$1,"transaction rq",A43)*3</f>
        <v>171.428571428571</v>
      </c>
      <c r="D43" s="50" t="n">
        <f aca="false">1-B43/C43</f>
        <v>-0.0208333333333333</v>
      </c>
      <c r="E43" s="51"/>
      <c r="F43" s="52" t="str">
        <f aca="false">VLOOKUP(A43,Соответствие!A:B,2,FALSE())</f>
        <v>Invoice</v>
      </c>
      <c r="G43" s="53" t="n">
        <f aca="false">C43/3</f>
        <v>57.1428571428571</v>
      </c>
      <c r="H43" s="10" t="n">
        <v>58</v>
      </c>
      <c r="I43" s="54" t="n">
        <f aca="false">1-G43/H43</f>
        <v>0.0147783251231527</v>
      </c>
    </row>
    <row r="44" customFormat="false" ht="17.35" hidden="false" customHeight="false" outlineLevel="0" collapsed="false">
      <c r="A44" s="55" t="s">
        <v>33</v>
      </c>
      <c r="B44" s="49" t="n">
        <v>280</v>
      </c>
      <c r="C44" s="20" t="n">
        <f aca="false">GETPIVOTDATA("Итого",$I$1,"transaction rq",A44)*3</f>
        <v>267.445054945055</v>
      </c>
      <c r="D44" s="50" t="n">
        <f aca="false">1-B44/C44</f>
        <v>-0.0469440164355419</v>
      </c>
      <c r="E44" s="57"/>
      <c r="F44" s="52" t="str">
        <f aca="false">VLOOKUP(A44,Соответствие!A:B,2,FALSE())</f>
        <v>Itinerary</v>
      </c>
      <c r="G44" s="53" t="n">
        <f aca="false">C44/3</f>
        <v>89.1483516483517</v>
      </c>
      <c r="H44" s="10" t="n">
        <v>89</v>
      </c>
      <c r="I44" s="54" t="n">
        <f aca="false">1-G44/H44</f>
        <v>-0.00166687245338926</v>
      </c>
    </row>
    <row r="45" customFormat="false" ht="17.35" hidden="false" customHeight="false" outlineLevel="0" collapsed="false">
      <c r="A45" s="55" t="s">
        <v>31</v>
      </c>
      <c r="B45" s="49" t="n">
        <v>73</v>
      </c>
      <c r="C45" s="20" t="n">
        <f aca="false">GETPIVOTDATA("Итого",$I$1,"transaction rq",A45)*3</f>
        <v>69.2307692307692</v>
      </c>
      <c r="D45" s="50" t="n">
        <f aca="false">1-B45/C45</f>
        <v>-0.0544444444444445</v>
      </c>
      <c r="E45" s="51"/>
      <c r="F45" s="52" t="str">
        <f aca="false">VLOOKUP(A45,Соответствие!A:B,2,FALSE())</f>
        <v>Delete_one_itineraries</v>
      </c>
      <c r="G45" s="53" t="n">
        <f aca="false">C45/3</f>
        <v>23.0769230769231</v>
      </c>
      <c r="H45" s="10" t="n">
        <v>23</v>
      </c>
      <c r="I45" s="54" t="n">
        <f aca="false">1-G45/H45</f>
        <v>-0.00334448160535117</v>
      </c>
    </row>
    <row r="46" customFormat="false" ht="17.35" hidden="false" customHeight="false" outlineLevel="0" collapsed="false">
      <c r="A46" s="55" t="s">
        <v>25</v>
      </c>
      <c r="B46" s="49" t="n">
        <v>326</v>
      </c>
      <c r="C46" s="20" t="n">
        <f aca="false">GETPIVOTDATA("Итого",$I$1,"transaction rq",A46)*3</f>
        <v>333.873626373626</v>
      </c>
      <c r="D46" s="50" t="n">
        <f aca="false">1-B46/C46</f>
        <v>0.0235826544886038</v>
      </c>
      <c r="E46" s="51"/>
      <c r="F46" s="52" t="str">
        <f aca="false">VLOOKUP(A46,Соответствие!A:B,2,FALSE())</f>
        <v>Logout</v>
      </c>
      <c r="G46" s="53" t="n">
        <f aca="false">C46/3</f>
        <v>111.291208791209</v>
      </c>
      <c r="H46" s="10" t="n">
        <v>110</v>
      </c>
      <c r="I46" s="54" t="n">
        <f aca="false">1-G46/H46</f>
        <v>-0.0117382617382618</v>
      </c>
    </row>
    <row r="47" customFormat="false" ht="32.8" hidden="false" customHeight="false" outlineLevel="0" collapsed="false">
      <c r="A47" s="55" t="s">
        <v>34</v>
      </c>
      <c r="B47" s="49" t="n">
        <v>97</v>
      </c>
      <c r="C47" s="20" t="n">
        <f aca="false">GETPIVOTDATA("Итого",$I$1,"transaction rq",A47)*3</f>
        <v>94.7368421052632</v>
      </c>
      <c r="D47" s="50" t="n">
        <f aca="false">1-B47/C47</f>
        <v>-0.0238888888888889</v>
      </c>
      <c r="E47" s="51"/>
      <c r="F47" s="52" t="str">
        <f aca="false">VLOOKUP(A47,Соответствие!A:B,2,FALSE())</f>
        <v>Signup</v>
      </c>
      <c r="G47" s="53" t="n">
        <f aca="false">C47/3</f>
        <v>31.5789473684211</v>
      </c>
      <c r="H47" s="10" t="n">
        <v>31</v>
      </c>
      <c r="I47" s="54" t="n">
        <f aca="false">1-G47/H47</f>
        <v>-0.0186757215619695</v>
      </c>
    </row>
    <row r="48" customFormat="false" ht="32.8" hidden="false" customHeight="false" outlineLevel="0" collapsed="false">
      <c r="A48" s="55" t="s">
        <v>35</v>
      </c>
      <c r="B48" s="49" t="n">
        <v>97</v>
      </c>
      <c r="C48" s="20" t="n">
        <f aca="false">GETPIVOTDATA("Итого",$I$1,"transaction rq",A48)*3</f>
        <v>94.7368421052632</v>
      </c>
      <c r="D48" s="50" t="n">
        <f aca="false">1-B48/C48</f>
        <v>-0.0238888888888889</v>
      </c>
      <c r="E48" s="51"/>
      <c r="F48" s="52" t="str">
        <f aca="false">VLOOKUP(A48,Соответствие!A:B,2,FALSE())</f>
        <v>Signup_done</v>
      </c>
      <c r="G48" s="53" t="n">
        <f aca="false">C48/3</f>
        <v>31.5789473684211</v>
      </c>
      <c r="H48" s="10" t="n">
        <v>31</v>
      </c>
      <c r="I48" s="54" t="n">
        <f aca="false">1-G48/H48</f>
        <v>-0.0186757215619695</v>
      </c>
    </row>
    <row r="49" customFormat="false" ht="32.8" hidden="false" customHeight="false" outlineLevel="0" collapsed="false">
      <c r="A49" s="55" t="s">
        <v>36</v>
      </c>
      <c r="B49" s="49" t="n">
        <v>97</v>
      </c>
      <c r="C49" s="20" t="n">
        <f aca="false">GETPIVOTDATA("Итого",$I$1,"transaction rq",A49)*3</f>
        <v>94.7368421052632</v>
      </c>
      <c r="D49" s="50" t="n">
        <f aca="false">1-B49/C49</f>
        <v>-0.0238888888888889</v>
      </c>
      <c r="E49" s="51"/>
      <c r="F49" s="52" t="str">
        <f aca="false">VLOOKUP(A49,Соответствие!A:B,2,FALSE())</f>
        <v>Login_after_registration</v>
      </c>
      <c r="G49" s="53" t="n">
        <f aca="false">C49/3</f>
        <v>31.5789473684211</v>
      </c>
      <c r="H49" s="10" t="n">
        <v>31</v>
      </c>
      <c r="I49" s="54" t="n">
        <f aca="false">1-G49/H49</f>
        <v>-0.0186757215619695</v>
      </c>
    </row>
    <row r="50" customFormat="false" ht="17.35" hidden="false" customHeight="false" outlineLevel="0" collapsed="false">
      <c r="A50" s="58" t="s">
        <v>7</v>
      </c>
      <c r="B50" s="59" t="n">
        <f aca="false">SUM(B38:B49)</f>
        <v>2944</v>
      </c>
      <c r="C50" s="60" t="n">
        <f aca="false">SUM(C38:C49)</f>
        <v>2972.95835743204</v>
      </c>
      <c r="D50" s="50" t="n">
        <f aca="false">1-B50/C50</f>
        <v>0.00974058629501129</v>
      </c>
    </row>
    <row r="51" customFormat="false" ht="13.8" hidden="false" customHeight="false" outlineLevel="0" collapsed="false"/>
    <row r="52" customFormat="false" ht="13.8" hidden="false" customHeight="false" outlineLevel="0" collapsed="false">
      <c r="A52" s="4"/>
      <c r="B52" s="5"/>
      <c r="C52" s="61" t="s">
        <v>48</v>
      </c>
      <c r="D52" s="61"/>
      <c r="E52" s="61"/>
      <c r="F52" s="61"/>
      <c r="G52" s="61"/>
      <c r="H52" s="61"/>
      <c r="I52" s="9"/>
    </row>
  </sheetData>
  <mergeCells count="2">
    <mergeCell ref="A36:B36"/>
    <mergeCell ref="C36:D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7.5"/>
    <col collapsed="false" customWidth="true" hidden="false" outlineLevel="0" max="2" min="2" style="1" width="25.18"/>
  </cols>
  <sheetData>
    <row r="1" customFormat="false" ht="13.8" hidden="false" customHeight="false" outlineLevel="0" collapsed="false">
      <c r="A1" s="62" t="s">
        <v>49</v>
      </c>
      <c r="B1" s="62" t="s">
        <v>50</v>
      </c>
    </row>
    <row r="2" customFormat="false" ht="13.8" hidden="false" customHeight="false" outlineLevel="0" collapsed="false">
      <c r="A2" s="52" t="str">
        <f aca="false">'Автоматизированный расчет'!A38</f>
        <v>Главная Welcome страница</v>
      </c>
      <c r="B2" s="52" t="s">
        <v>51</v>
      </c>
    </row>
    <row r="3" customFormat="false" ht="13.8" hidden="false" customHeight="false" outlineLevel="0" collapsed="false">
      <c r="A3" s="52" t="str">
        <f aca="false">'Автоматизированный расчет'!A39</f>
        <v>Вход в систему</v>
      </c>
      <c r="B3" s="52" t="s">
        <v>52</v>
      </c>
    </row>
    <row r="4" customFormat="false" ht="13.8" hidden="false" customHeight="false" outlineLevel="0" collapsed="false">
      <c r="A4" s="52" t="str">
        <f aca="false">'Автоматизированный расчет'!A40</f>
        <v>Переход на страницу поиска билетов</v>
      </c>
      <c r="B4" s="52" t="s">
        <v>53</v>
      </c>
    </row>
    <row r="5" customFormat="false" ht="13.8" hidden="false" customHeight="false" outlineLevel="0" collapsed="false">
      <c r="A5" s="52" t="str">
        <f aca="false">'Автоматизированный расчет'!A41</f>
        <v>Заполнение полей для поиска билета </v>
      </c>
      <c r="B5" s="52" t="s">
        <v>54</v>
      </c>
    </row>
    <row r="6" customFormat="false" ht="13.8" hidden="false" customHeight="false" outlineLevel="0" collapsed="false">
      <c r="A6" s="52" t="str">
        <f aca="false">'Автоматизированный расчет'!A42</f>
        <v>Выбор рейса из найденных </v>
      </c>
      <c r="B6" s="52" t="s">
        <v>55</v>
      </c>
    </row>
    <row r="7" customFormat="false" ht="13.8" hidden="false" customHeight="false" outlineLevel="0" collapsed="false">
      <c r="A7" s="52" t="str">
        <f aca="false">'Автоматизированный расчет'!A43</f>
        <v>Оплата билета</v>
      </c>
      <c r="B7" s="52" t="s">
        <v>56</v>
      </c>
    </row>
    <row r="8" customFormat="false" ht="13.8" hidden="false" customHeight="false" outlineLevel="0" collapsed="false">
      <c r="A8" s="52" t="str">
        <f aca="false">'Автоматизированный расчет'!A44</f>
        <v>Просмотр квитанций</v>
      </c>
      <c r="B8" s="52" t="s">
        <v>57</v>
      </c>
    </row>
    <row r="9" customFormat="false" ht="13.8" hidden="false" customHeight="false" outlineLevel="0" collapsed="false">
      <c r="A9" s="52" t="str">
        <f aca="false">'Автоматизированный расчет'!A45</f>
        <v>Отмена бронирования </v>
      </c>
      <c r="B9" s="52" t="s">
        <v>58</v>
      </c>
    </row>
    <row r="10" customFormat="false" ht="13.8" hidden="false" customHeight="false" outlineLevel="0" collapsed="false">
      <c r="A10" s="52" t="str">
        <f aca="false">'Автоматизированный расчет'!A46</f>
        <v>Выход из системы</v>
      </c>
      <c r="B10" s="52" t="s">
        <v>59</v>
      </c>
    </row>
    <row r="11" customFormat="false" ht="13.8" hidden="false" customHeight="false" outlineLevel="0" collapsed="false">
      <c r="A11" s="52" t="str">
        <f aca="false">'Автоматизированный расчет'!A47</f>
        <v>Перход на страницу регистрации</v>
      </c>
      <c r="B11" s="52" t="s">
        <v>60</v>
      </c>
    </row>
    <row r="12" customFormat="false" ht="13.8" hidden="false" customHeight="false" outlineLevel="0" collapsed="false">
      <c r="A12" s="52" t="str">
        <f aca="false">'Автоматизированный расчет'!A48</f>
        <v>Заполнение полей регистарции</v>
      </c>
      <c r="B12" s="52" t="s">
        <v>61</v>
      </c>
    </row>
    <row r="13" customFormat="false" ht="13.8" hidden="false" customHeight="false" outlineLevel="0" collapsed="false">
      <c r="A13" s="52" t="str">
        <f aca="false">'Автоматизированный расчет'!A49</f>
        <v>Переход на следуюущий эран после регистарции</v>
      </c>
      <c r="B13" s="52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1" activeCellId="0" sqref="A2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36.5"/>
  </cols>
  <sheetData>
    <row r="1" customFormat="false" ht="13.8" hidden="false" customHeight="false" outlineLevel="0" collapsed="false">
      <c r="A1" s="63" t="s">
        <v>63</v>
      </c>
      <c r="B1" s="63" t="s">
        <v>64</v>
      </c>
      <c r="C1" s="63" t="s">
        <v>65</v>
      </c>
      <c r="D1" s="63" t="s">
        <v>66</v>
      </c>
      <c r="E1" s="63" t="s">
        <v>67</v>
      </c>
      <c r="F1" s="63" t="s">
        <v>68</v>
      </c>
      <c r="G1" s="63" t="s">
        <v>69</v>
      </c>
      <c r="H1" s="63" t="s">
        <v>70</v>
      </c>
      <c r="I1" s="63" t="s">
        <v>71</v>
      </c>
      <c r="J1" s="63" t="s">
        <v>72</v>
      </c>
    </row>
    <row r="2" customFormat="false" ht="13.8" hidden="false" customHeight="false" outlineLevel="0" collapsed="false">
      <c r="A2" s="63" t="s">
        <v>73</v>
      </c>
      <c r="B2" s="63" t="s">
        <v>74</v>
      </c>
      <c r="C2" s="63" t="n">
        <v>0.454</v>
      </c>
      <c r="D2" s="63" t="n">
        <v>0.863</v>
      </c>
      <c r="E2" s="63" t="n">
        <v>1.232</v>
      </c>
      <c r="F2" s="63" t="n">
        <v>0.184</v>
      </c>
      <c r="G2" s="63" t="n">
        <v>1.097</v>
      </c>
      <c r="H2" s="63" t="n">
        <v>178</v>
      </c>
      <c r="I2" s="63" t="n">
        <v>0</v>
      </c>
      <c r="J2" s="63" t="n">
        <v>0</v>
      </c>
    </row>
    <row r="3" customFormat="false" ht="13.8" hidden="false" customHeight="false" outlineLevel="0" collapsed="false">
      <c r="A3" s="63" t="s">
        <v>75</v>
      </c>
      <c r="B3" s="63" t="s">
        <v>74</v>
      </c>
      <c r="C3" s="63" t="n">
        <v>0</v>
      </c>
      <c r="D3" s="63" t="n">
        <v>0.129</v>
      </c>
      <c r="E3" s="63" t="n">
        <v>0.214</v>
      </c>
      <c r="F3" s="63" t="n">
        <v>0.076</v>
      </c>
      <c r="G3" s="63" t="n">
        <v>0.192</v>
      </c>
      <c r="H3" s="63" t="n">
        <v>24</v>
      </c>
      <c r="I3" s="63" t="n">
        <v>0</v>
      </c>
      <c r="J3" s="63" t="n">
        <v>0</v>
      </c>
    </row>
    <row r="4" customFormat="false" ht="13.8" hidden="false" customHeight="false" outlineLevel="0" collapsed="false">
      <c r="A4" s="63" t="s">
        <v>76</v>
      </c>
      <c r="B4" s="63" t="s">
        <v>74</v>
      </c>
      <c r="C4" s="63" t="n">
        <v>0.16</v>
      </c>
      <c r="D4" s="63" t="n">
        <v>0.208</v>
      </c>
      <c r="E4" s="63" t="n">
        <v>0.423</v>
      </c>
      <c r="F4" s="63" t="n">
        <v>0.041</v>
      </c>
      <c r="G4" s="63" t="n">
        <v>0.243</v>
      </c>
      <c r="H4" s="63" t="n">
        <v>97</v>
      </c>
      <c r="I4" s="63" t="n">
        <v>0</v>
      </c>
      <c r="J4" s="63" t="n">
        <v>0</v>
      </c>
    </row>
    <row r="5" customFormat="false" ht="13.8" hidden="false" customHeight="false" outlineLevel="0" collapsed="false">
      <c r="A5" s="63" t="s">
        <v>77</v>
      </c>
      <c r="B5" s="63" t="s">
        <v>74</v>
      </c>
      <c r="C5" s="63" t="n">
        <v>0.182</v>
      </c>
      <c r="D5" s="63" t="n">
        <v>0.211</v>
      </c>
      <c r="E5" s="63" t="n">
        <v>0.347</v>
      </c>
      <c r="F5" s="63" t="n">
        <v>0.026</v>
      </c>
      <c r="G5" s="63" t="n">
        <v>0.228</v>
      </c>
      <c r="H5" s="63" t="n">
        <v>96</v>
      </c>
      <c r="I5" s="63" t="n">
        <v>0</v>
      </c>
      <c r="J5" s="63" t="n">
        <v>0</v>
      </c>
    </row>
    <row r="6" customFormat="false" ht="13.8" hidden="false" customHeight="false" outlineLevel="0" collapsed="false">
      <c r="A6" s="63" t="s">
        <v>78</v>
      </c>
      <c r="B6" s="63" t="s">
        <v>74</v>
      </c>
      <c r="C6" s="63" t="n">
        <v>0.148</v>
      </c>
      <c r="D6" s="63" t="n">
        <v>0.178</v>
      </c>
      <c r="E6" s="63" t="n">
        <v>0.231</v>
      </c>
      <c r="F6" s="63" t="n">
        <v>0.019</v>
      </c>
      <c r="G6" s="63" t="n">
        <v>0.205</v>
      </c>
      <c r="H6" s="63" t="n">
        <v>32</v>
      </c>
      <c r="I6" s="63" t="n">
        <v>0</v>
      </c>
      <c r="J6" s="63" t="n">
        <v>0</v>
      </c>
    </row>
    <row r="7" customFormat="false" ht="13.8" hidden="false" customHeight="false" outlineLevel="0" collapsed="false">
      <c r="A7" s="63" t="s">
        <v>79</v>
      </c>
      <c r="B7" s="63" t="s">
        <v>74</v>
      </c>
      <c r="C7" s="63" t="n">
        <v>0.079</v>
      </c>
      <c r="D7" s="63" t="n">
        <v>0.092</v>
      </c>
      <c r="E7" s="63" t="n">
        <v>0.21</v>
      </c>
      <c r="F7" s="63" t="n">
        <v>0.014</v>
      </c>
      <c r="G7" s="63" t="n">
        <v>0.1</v>
      </c>
      <c r="H7" s="63" t="n">
        <v>98</v>
      </c>
      <c r="I7" s="63" t="n">
        <v>0</v>
      </c>
      <c r="J7" s="63" t="n">
        <v>0</v>
      </c>
    </row>
    <row r="8" customFormat="false" ht="13.8" hidden="false" customHeight="false" outlineLevel="0" collapsed="false">
      <c r="A8" s="63" t="s">
        <v>80</v>
      </c>
      <c r="B8" s="63" t="s">
        <v>74</v>
      </c>
      <c r="C8" s="63" t="n">
        <v>0.152</v>
      </c>
      <c r="D8" s="63" t="n">
        <v>0.182</v>
      </c>
      <c r="E8" s="63" t="n">
        <v>0.34</v>
      </c>
      <c r="F8" s="63" t="n">
        <v>0.023</v>
      </c>
      <c r="G8" s="63" t="n">
        <v>0.208</v>
      </c>
      <c r="H8" s="63" t="n">
        <v>146</v>
      </c>
      <c r="I8" s="63" t="n">
        <v>0</v>
      </c>
      <c r="J8" s="63" t="n">
        <v>0</v>
      </c>
    </row>
    <row r="9" customFormat="false" ht="13.8" hidden="false" customHeight="false" outlineLevel="0" collapsed="false">
      <c r="A9" s="63" t="s">
        <v>81</v>
      </c>
      <c r="B9" s="63" t="s">
        <v>74</v>
      </c>
      <c r="C9" s="63" t="n">
        <v>0.145</v>
      </c>
      <c r="D9" s="63" t="n">
        <v>0.17</v>
      </c>
      <c r="E9" s="63" t="n">
        <v>0.346</v>
      </c>
      <c r="F9" s="63" t="n">
        <v>0.022</v>
      </c>
      <c r="G9" s="63" t="n">
        <v>0.186</v>
      </c>
      <c r="H9" s="63" t="n">
        <v>178</v>
      </c>
      <c r="I9" s="63" t="n">
        <v>0</v>
      </c>
      <c r="J9" s="63" t="n">
        <v>0</v>
      </c>
    </row>
    <row r="10" customFormat="false" ht="13.8" hidden="false" customHeight="false" outlineLevel="0" collapsed="false">
      <c r="A10" s="63" t="s">
        <v>82</v>
      </c>
      <c r="B10" s="63" t="s">
        <v>74</v>
      </c>
      <c r="C10" s="63" t="n">
        <v>0.088</v>
      </c>
      <c r="D10" s="63" t="n">
        <v>0.1</v>
      </c>
      <c r="E10" s="63" t="n">
        <v>0.132</v>
      </c>
      <c r="F10" s="63" t="n">
        <v>0.009</v>
      </c>
      <c r="G10" s="63" t="n">
        <v>0.109</v>
      </c>
      <c r="H10" s="63" t="n">
        <v>60</v>
      </c>
      <c r="I10" s="63" t="n">
        <v>0</v>
      </c>
      <c r="J10" s="63" t="n">
        <v>0</v>
      </c>
    </row>
    <row r="11" customFormat="false" ht="13.8" hidden="false" customHeight="false" outlineLevel="0" collapsed="false">
      <c r="A11" s="63" t="s">
        <v>83</v>
      </c>
      <c r="B11" s="63" t="s">
        <v>74</v>
      </c>
      <c r="C11" s="63" t="n">
        <v>0.072</v>
      </c>
      <c r="D11" s="63" t="n">
        <v>0.086</v>
      </c>
      <c r="E11" s="63" t="n">
        <v>0.143</v>
      </c>
      <c r="F11" s="63" t="n">
        <v>0.014</v>
      </c>
      <c r="G11" s="63" t="n">
        <v>0.095</v>
      </c>
      <c r="H11" s="63" t="n">
        <v>32</v>
      </c>
      <c r="I11" s="63" t="n">
        <v>0</v>
      </c>
      <c r="J11" s="63" t="n">
        <v>0</v>
      </c>
    </row>
    <row r="12" customFormat="false" ht="13.8" hidden="false" customHeight="false" outlineLevel="0" collapsed="false">
      <c r="A12" s="63" t="s">
        <v>84</v>
      </c>
      <c r="B12" s="63" t="s">
        <v>74</v>
      </c>
      <c r="C12" s="63" t="n">
        <v>0.081</v>
      </c>
      <c r="D12" s="63" t="n">
        <v>0.097</v>
      </c>
      <c r="E12" s="63" t="n">
        <v>0.172</v>
      </c>
      <c r="F12" s="63" t="n">
        <v>0.014</v>
      </c>
      <c r="G12" s="63" t="n">
        <v>0.108</v>
      </c>
      <c r="H12" s="63" t="n">
        <v>90</v>
      </c>
      <c r="I12" s="63" t="n">
        <v>0</v>
      </c>
      <c r="J12" s="63" t="n">
        <v>0</v>
      </c>
    </row>
    <row r="13" customFormat="false" ht="13.8" hidden="false" customHeight="false" outlineLevel="0" collapsed="false">
      <c r="A13" s="63" t="s">
        <v>85</v>
      </c>
      <c r="B13" s="63" t="s">
        <v>74</v>
      </c>
      <c r="C13" s="63" t="n">
        <v>0.136</v>
      </c>
      <c r="D13" s="63" t="n">
        <v>0.158</v>
      </c>
      <c r="E13" s="63" t="n">
        <v>0.394</v>
      </c>
      <c r="F13" s="63" t="n">
        <v>0.027</v>
      </c>
      <c r="G13" s="63" t="n">
        <v>0.175</v>
      </c>
      <c r="H13" s="63" t="n">
        <v>110</v>
      </c>
      <c r="I13" s="63" t="n">
        <v>0</v>
      </c>
      <c r="J13" s="63" t="n">
        <v>0</v>
      </c>
    </row>
    <row r="14" customFormat="false" ht="13.8" hidden="false" customHeight="false" outlineLevel="0" collapsed="false">
      <c r="A14" s="63" t="s">
        <v>86</v>
      </c>
      <c r="B14" s="63" t="s">
        <v>74</v>
      </c>
      <c r="C14" s="63" t="n">
        <v>0.096</v>
      </c>
      <c r="D14" s="63" t="n">
        <v>0.11</v>
      </c>
      <c r="E14" s="63" t="n">
        <v>0.14</v>
      </c>
      <c r="F14" s="63" t="n">
        <v>0.009</v>
      </c>
      <c r="G14" s="63" t="n">
        <v>0.121</v>
      </c>
      <c r="H14" s="63" t="n">
        <v>32</v>
      </c>
      <c r="I14" s="63" t="n">
        <v>0</v>
      </c>
      <c r="J14" s="63" t="n">
        <v>0</v>
      </c>
    </row>
    <row r="15" customFormat="false" ht="13.8" hidden="false" customHeight="false" outlineLevel="0" collapsed="false">
      <c r="A15" s="63" t="s">
        <v>87</v>
      </c>
      <c r="B15" s="63" t="s">
        <v>74</v>
      </c>
      <c r="C15" s="63" t="n">
        <v>0.614</v>
      </c>
      <c r="D15" s="63" t="n">
        <v>0.696</v>
      </c>
      <c r="E15" s="63" t="n">
        <v>0.776</v>
      </c>
      <c r="F15" s="63" t="n">
        <v>0.044</v>
      </c>
      <c r="G15" s="63" t="n">
        <v>0.749</v>
      </c>
      <c r="H15" s="63" t="n">
        <v>32</v>
      </c>
      <c r="I15" s="63" t="n">
        <v>0</v>
      </c>
      <c r="J15" s="63" t="n">
        <v>0</v>
      </c>
    </row>
    <row r="16" customFormat="false" ht="13.8" hidden="false" customHeight="false" outlineLevel="0" collapsed="false">
      <c r="A16" s="63" t="s">
        <v>88</v>
      </c>
      <c r="B16" s="63" t="s">
        <v>74</v>
      </c>
      <c r="C16" s="63" t="n">
        <v>0.768</v>
      </c>
      <c r="D16" s="63" t="n">
        <v>0.921</v>
      </c>
      <c r="E16" s="63" t="n">
        <v>1.174</v>
      </c>
      <c r="F16" s="63" t="n">
        <v>0.097</v>
      </c>
      <c r="G16" s="63" t="n">
        <v>1.041</v>
      </c>
      <c r="H16" s="63" t="n">
        <v>30</v>
      </c>
      <c r="I16" s="63" t="n">
        <v>0</v>
      </c>
      <c r="J16" s="63" t="n">
        <v>0</v>
      </c>
    </row>
    <row r="17" customFormat="false" ht="13.8" hidden="false" customHeight="false" outlineLevel="0" collapsed="false">
      <c r="A17" s="63" t="s">
        <v>89</v>
      </c>
      <c r="B17" s="63" t="s">
        <v>74</v>
      </c>
      <c r="C17" s="63" t="n">
        <v>0.648</v>
      </c>
      <c r="D17" s="63" t="n">
        <v>0.724</v>
      </c>
      <c r="E17" s="63" t="n">
        <v>0.831</v>
      </c>
      <c r="F17" s="63" t="n">
        <v>0.041</v>
      </c>
      <c r="G17" s="63" t="n">
        <v>0.75</v>
      </c>
      <c r="H17" s="63" t="n">
        <v>12</v>
      </c>
      <c r="I17" s="63" t="n">
        <v>0</v>
      </c>
      <c r="J17" s="63" t="n">
        <v>0</v>
      </c>
    </row>
    <row r="18" customFormat="false" ht="13.8" hidden="false" customHeight="false" outlineLevel="0" collapsed="false">
      <c r="A18" s="63" t="s">
        <v>90</v>
      </c>
      <c r="B18" s="63" t="s">
        <v>74</v>
      </c>
      <c r="C18" s="63" t="n">
        <v>0.92</v>
      </c>
      <c r="D18" s="63" t="n">
        <v>1.046</v>
      </c>
      <c r="E18" s="63" t="n">
        <v>1.232</v>
      </c>
      <c r="F18" s="63" t="n">
        <v>0.07</v>
      </c>
      <c r="G18" s="63" t="n">
        <v>1.108</v>
      </c>
      <c r="H18" s="63" t="n">
        <v>60</v>
      </c>
      <c r="I18" s="63" t="n">
        <v>0</v>
      </c>
      <c r="J18" s="63" t="n">
        <v>0</v>
      </c>
    </row>
    <row r="19" customFormat="false" ht="13.8" hidden="false" customHeight="false" outlineLevel="0" collapsed="false">
      <c r="A19" s="63" t="s">
        <v>91</v>
      </c>
      <c r="B19" s="63" t="s">
        <v>74</v>
      </c>
      <c r="C19" s="63" t="n">
        <v>0.706</v>
      </c>
      <c r="D19" s="63" t="n">
        <v>0.866</v>
      </c>
      <c r="E19" s="63" t="n">
        <v>1.141</v>
      </c>
      <c r="F19" s="63" t="n">
        <v>0.102</v>
      </c>
      <c r="G19" s="63" t="n">
        <v>0.979</v>
      </c>
      <c r="H19" s="63" t="n">
        <v>24</v>
      </c>
      <c r="I19" s="63" t="n">
        <v>0</v>
      </c>
      <c r="J19" s="63" t="n">
        <v>0</v>
      </c>
    </row>
    <row r="20" customFormat="false" ht="13.8" hidden="false" customHeight="false" outlineLevel="0" collapsed="false">
      <c r="A20" s="63" t="s">
        <v>92</v>
      </c>
      <c r="B20" s="63" t="s">
        <v>74</v>
      </c>
      <c r="C20" s="63" t="n">
        <v>0.599</v>
      </c>
      <c r="D20" s="63" t="n">
        <v>0.696</v>
      </c>
      <c r="E20" s="63" t="n">
        <v>0.81</v>
      </c>
      <c r="F20" s="63" t="n">
        <v>0.062</v>
      </c>
      <c r="G20" s="63" t="n">
        <v>0.81</v>
      </c>
      <c r="H20" s="63" t="n">
        <v>8</v>
      </c>
      <c r="I20" s="63" t="n">
        <v>0</v>
      </c>
      <c r="J20" s="63" t="n">
        <v>0</v>
      </c>
    </row>
    <row r="21" customFormat="false" ht="13.8" hidden="false" customHeight="false" outlineLevel="0" collapsed="false">
      <c r="A21" s="63" t="s">
        <v>93</v>
      </c>
      <c r="B21" s="63" t="s">
        <v>74</v>
      </c>
      <c r="C21" s="63" t="n">
        <v>0.453</v>
      </c>
      <c r="D21" s="63" t="n">
        <v>0.497</v>
      </c>
      <c r="E21" s="63" t="n">
        <v>0.564</v>
      </c>
      <c r="F21" s="63" t="n">
        <v>0.027</v>
      </c>
      <c r="G21" s="63" t="n">
        <v>0.508</v>
      </c>
      <c r="H21" s="63" t="n">
        <v>12</v>
      </c>
      <c r="I21" s="63" t="n">
        <v>0</v>
      </c>
      <c r="J21" s="6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O9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L37" activeCellId="0" sqref="L37"/>
    </sheetView>
  </sheetViews>
  <sheetFormatPr defaultColWidth="8.83203125" defaultRowHeight="15" zeroHeight="false" outlineLevelRow="0" outlineLevelCol="0"/>
  <cols>
    <col collapsed="false" customWidth="true" hidden="false" outlineLevel="0" max="2" min="2" style="1" width="4.5"/>
    <col collapsed="false" customWidth="true" hidden="true" outlineLevel="0" max="4" min="3" style="1" width="9.16"/>
    <col collapsed="false" customWidth="true" hidden="false" outlineLevel="0" max="5" min="5" style="64" width="45.23"/>
    <col collapsed="false" customWidth="true" hidden="false" outlineLevel="0" max="6" min="6" style="64" width="30.85"/>
    <col collapsed="false" customWidth="true" hidden="false" outlineLevel="0" max="7" min="7" style="64" width="15.24"/>
    <col collapsed="false" customWidth="true" hidden="false" outlineLevel="0" max="8" min="8" style="64" width="11.52"/>
    <col collapsed="false" customWidth="true" hidden="false" outlineLevel="0" max="9" min="9" style="64" width="16.62"/>
    <col collapsed="false" customWidth="false" hidden="false" outlineLevel="0" max="10" min="10" style="65" width="8.83"/>
    <col collapsed="false" customWidth="true" hidden="false" outlineLevel="0" max="11" min="11" style="64" width="12.05"/>
    <col collapsed="false" customWidth="true" hidden="false" outlineLevel="0" max="12" min="12" style="64" width="11.12"/>
    <col collapsed="false" customWidth="true" hidden="false" outlineLevel="0" max="13" min="13" style="1" width="16.38"/>
    <col collapsed="false" customWidth="true" hidden="false" outlineLevel="0" max="14" min="14" style="1" width="4.16"/>
    <col collapsed="false" customWidth="true" hidden="false" outlineLevel="0" max="15" min="15" style="1" width="5"/>
    <col collapsed="false" customWidth="true" hidden="false" outlineLevel="0" max="16" min="16" style="1" width="14.16"/>
    <col collapsed="false" customWidth="true" hidden="false" outlineLevel="0" max="21" min="17" style="0" width="11.53"/>
    <col collapsed="false" customWidth="true" hidden="false" outlineLevel="0" max="16384" min="16376" style="0" width="11.53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22.35" hidden="false" customHeight="true" outlineLevel="0" collapsed="false">
      <c r="E3" s="66" t="s">
        <v>94</v>
      </c>
      <c r="F3" s="66"/>
      <c r="G3" s="66"/>
      <c r="H3" s="66"/>
      <c r="I3" s="66"/>
      <c r="J3" s="67"/>
      <c r="K3" s="68"/>
      <c r="L3" s="68"/>
      <c r="M3" s="69"/>
      <c r="N3" s="69"/>
      <c r="O3" s="69"/>
    </row>
    <row r="4" customFormat="false" ht="13.8" hidden="false" customHeight="false" outlineLevel="0" collapsed="false">
      <c r="E4" s="68"/>
      <c r="F4" s="68"/>
      <c r="G4" s="68"/>
      <c r="H4" s="68"/>
      <c r="I4" s="68"/>
      <c r="J4" s="67"/>
      <c r="K4" s="68"/>
      <c r="L4" s="68"/>
      <c r="M4" s="69"/>
      <c r="N4" s="69"/>
      <c r="O4" s="69"/>
    </row>
    <row r="5" customFormat="false" ht="31.3" hidden="false" customHeight="false" outlineLevel="0" collapsed="false">
      <c r="E5" s="70" t="s">
        <v>95</v>
      </c>
      <c r="F5" s="70" t="s">
        <v>96</v>
      </c>
      <c r="G5" s="70" t="s">
        <v>97</v>
      </c>
      <c r="H5" s="70" t="s">
        <v>98</v>
      </c>
      <c r="I5" s="70" t="s">
        <v>99</v>
      </c>
      <c r="J5" s="67"/>
      <c r="K5" s="68" t="s">
        <v>100</v>
      </c>
      <c r="L5" s="68" t="s">
        <v>101</v>
      </c>
      <c r="M5" s="68" t="s">
        <v>102</v>
      </c>
      <c r="N5" s="69"/>
      <c r="O5" s="69"/>
    </row>
    <row r="6" customFormat="false" ht="22.35" hidden="false" customHeight="true" outlineLevel="0" collapsed="false">
      <c r="E6" s="71" t="s">
        <v>20</v>
      </c>
      <c r="F6" s="72" t="s">
        <v>51</v>
      </c>
      <c r="G6" s="73" t="n">
        <v>541</v>
      </c>
      <c r="H6" s="74" t="n">
        <v>540</v>
      </c>
      <c r="I6" s="75" t="n">
        <f aca="false">1-G6/H6</f>
        <v>-0.00185185185185177</v>
      </c>
      <c r="J6" s="67"/>
      <c r="K6" s="68" t="n">
        <v>180</v>
      </c>
      <c r="L6" s="68" t="n">
        <v>3</v>
      </c>
      <c r="M6" s="69" t="n">
        <f aca="false">H6*L6</f>
        <v>1620</v>
      </c>
      <c r="N6" s="69"/>
      <c r="O6" s="69"/>
    </row>
    <row r="7" customFormat="false" ht="22.35" hidden="false" customHeight="true" outlineLevel="0" collapsed="false">
      <c r="E7" s="71" t="s">
        <v>21</v>
      </c>
      <c r="F7" s="72" t="s">
        <v>52</v>
      </c>
      <c r="G7" s="73" t="n">
        <v>446</v>
      </c>
      <c r="H7" s="74" t="n">
        <v>441</v>
      </c>
      <c r="I7" s="75" t="n">
        <f aca="false">1-G7/H7</f>
        <v>-0.0113378684807257</v>
      </c>
      <c r="J7" s="67"/>
      <c r="K7" s="68" t="n">
        <v>147</v>
      </c>
      <c r="L7" s="68" t="n">
        <v>3</v>
      </c>
      <c r="M7" s="69" t="n">
        <f aca="false">H7*L7</f>
        <v>1323</v>
      </c>
      <c r="N7" s="69"/>
      <c r="O7" s="69"/>
    </row>
    <row r="8" customFormat="false" ht="22.35" hidden="false" customHeight="true" outlineLevel="0" collapsed="false">
      <c r="E8" s="71" t="s">
        <v>24</v>
      </c>
      <c r="F8" s="72" t="s">
        <v>53</v>
      </c>
      <c r="G8" s="73" t="n">
        <v>291</v>
      </c>
      <c r="H8" s="74" t="n">
        <v>291</v>
      </c>
      <c r="I8" s="75" t="n">
        <f aca="false">1-G8/H8</f>
        <v>0</v>
      </c>
      <c r="J8" s="67"/>
      <c r="K8" s="68" t="n">
        <v>97</v>
      </c>
      <c r="L8" s="68" t="n">
        <v>3</v>
      </c>
      <c r="M8" s="69" t="n">
        <f aca="false">H8*L8</f>
        <v>873</v>
      </c>
      <c r="N8" s="69"/>
      <c r="O8" s="69"/>
    </row>
    <row r="9" customFormat="false" ht="22.35" hidden="false" customHeight="true" outlineLevel="0" collapsed="false">
      <c r="E9" s="71" t="s">
        <v>27</v>
      </c>
      <c r="F9" s="72" t="s">
        <v>54</v>
      </c>
      <c r="G9" s="73" t="n">
        <v>284</v>
      </c>
      <c r="H9" s="74" t="n">
        <v>285</v>
      </c>
      <c r="I9" s="75" t="n">
        <f aca="false">1-G9/H9</f>
        <v>0.00350877192982457</v>
      </c>
      <c r="J9" s="67"/>
      <c r="K9" s="68" t="n">
        <v>95</v>
      </c>
      <c r="L9" s="68" t="n">
        <v>1</v>
      </c>
      <c r="M9" s="69" t="n">
        <f aca="false">H9*L9</f>
        <v>285</v>
      </c>
      <c r="N9" s="69"/>
      <c r="O9" s="69"/>
    </row>
    <row r="10" customFormat="false" ht="22.35" hidden="false" customHeight="true" outlineLevel="0" collapsed="false">
      <c r="E10" s="71" t="s">
        <v>22</v>
      </c>
      <c r="F10" s="72" t="s">
        <v>55</v>
      </c>
      <c r="G10" s="73" t="n">
        <v>284</v>
      </c>
      <c r="H10" s="74" t="n">
        <v>285</v>
      </c>
      <c r="I10" s="75" t="n">
        <f aca="false">1-G10/H10</f>
        <v>0.00350877192982457</v>
      </c>
      <c r="J10" s="67"/>
      <c r="K10" s="68" t="n">
        <v>95</v>
      </c>
      <c r="L10" s="68" t="n">
        <v>1</v>
      </c>
      <c r="M10" s="69" t="n">
        <f aca="false">H10*L10</f>
        <v>285</v>
      </c>
      <c r="N10" s="69"/>
      <c r="O10" s="69"/>
    </row>
    <row r="11" customFormat="false" ht="22.35" hidden="false" customHeight="true" outlineLevel="0" collapsed="false">
      <c r="E11" s="71" t="s">
        <v>29</v>
      </c>
      <c r="F11" s="72" t="s">
        <v>56</v>
      </c>
      <c r="G11" s="73" t="n">
        <v>171</v>
      </c>
      <c r="H11" s="74" t="n">
        <v>174</v>
      </c>
      <c r="I11" s="75" t="n">
        <f aca="false">1-G11/H11</f>
        <v>0.0172413793103449</v>
      </c>
      <c r="J11" s="67"/>
      <c r="K11" s="68" t="n">
        <v>58</v>
      </c>
      <c r="L11" s="68" t="n">
        <v>1</v>
      </c>
      <c r="M11" s="69" t="n">
        <f aca="false">H11*L11</f>
        <v>174</v>
      </c>
      <c r="N11" s="69"/>
      <c r="O11" s="69"/>
    </row>
    <row r="12" customFormat="false" ht="22.35" hidden="false" customHeight="true" outlineLevel="0" collapsed="false">
      <c r="E12" s="71" t="s">
        <v>33</v>
      </c>
      <c r="F12" s="72" t="s">
        <v>57</v>
      </c>
      <c r="G12" s="73" t="n">
        <v>267</v>
      </c>
      <c r="H12" s="74" t="n">
        <v>267</v>
      </c>
      <c r="I12" s="75" t="n">
        <f aca="false">1-G12/H12</f>
        <v>0</v>
      </c>
      <c r="J12" s="67"/>
      <c r="K12" s="68" t="n">
        <v>89</v>
      </c>
      <c r="L12" s="68" t="n">
        <v>3</v>
      </c>
      <c r="M12" s="69" t="n">
        <f aca="false">H12*L12</f>
        <v>801</v>
      </c>
      <c r="N12" s="69"/>
      <c r="O12" s="69"/>
    </row>
    <row r="13" customFormat="false" ht="22.35" hidden="false" customHeight="true" outlineLevel="0" collapsed="false">
      <c r="E13" s="71" t="s">
        <v>31</v>
      </c>
      <c r="F13" s="72" t="s">
        <v>58</v>
      </c>
      <c r="G13" s="73" t="n">
        <v>69</v>
      </c>
      <c r="H13" s="74" t="n">
        <v>69</v>
      </c>
      <c r="I13" s="75" t="n">
        <f aca="false">1-G13/H13</f>
        <v>0</v>
      </c>
      <c r="J13" s="67"/>
      <c r="K13" s="68" t="n">
        <v>23</v>
      </c>
      <c r="L13" s="68" t="n">
        <v>1</v>
      </c>
      <c r="M13" s="69" t="n">
        <f aca="false">H13*L13</f>
        <v>69</v>
      </c>
      <c r="N13" s="69"/>
      <c r="O13" s="69"/>
    </row>
    <row r="14" customFormat="false" ht="22.35" hidden="false" customHeight="true" outlineLevel="0" collapsed="false">
      <c r="E14" s="71" t="s">
        <v>25</v>
      </c>
      <c r="F14" s="72" t="s">
        <v>59</v>
      </c>
      <c r="G14" s="73" t="n">
        <v>334</v>
      </c>
      <c r="H14" s="74" t="n">
        <v>330</v>
      </c>
      <c r="I14" s="75" t="n">
        <f aca="false">1-G14/H14</f>
        <v>-0.0121212121212122</v>
      </c>
      <c r="J14" s="67"/>
      <c r="K14" s="68" t="n">
        <v>110</v>
      </c>
      <c r="L14" s="68" t="n">
        <v>2</v>
      </c>
      <c r="M14" s="69" t="n">
        <f aca="false">H14*L14</f>
        <v>660</v>
      </c>
      <c r="N14" s="69"/>
      <c r="O14" s="69"/>
    </row>
    <row r="15" customFormat="false" ht="22.35" hidden="false" customHeight="true" outlineLevel="0" collapsed="false">
      <c r="E15" s="71" t="s">
        <v>103</v>
      </c>
      <c r="F15" s="72" t="s">
        <v>60</v>
      </c>
      <c r="G15" s="73" t="n">
        <v>95</v>
      </c>
      <c r="H15" s="74" t="n">
        <v>93</v>
      </c>
      <c r="I15" s="75" t="n">
        <f aca="false">1-G15/H15</f>
        <v>-0.021505376344086</v>
      </c>
      <c r="J15" s="67"/>
      <c r="K15" s="68" t="n">
        <v>31</v>
      </c>
      <c r="L15" s="68" t="n">
        <v>1</v>
      </c>
      <c r="M15" s="69" t="n">
        <f aca="false">H15*L15</f>
        <v>93</v>
      </c>
      <c r="N15" s="69"/>
      <c r="O15" s="69"/>
    </row>
    <row r="16" customFormat="false" ht="22.35" hidden="false" customHeight="true" outlineLevel="0" collapsed="false">
      <c r="E16" s="71" t="s">
        <v>104</v>
      </c>
      <c r="F16" s="72" t="s">
        <v>61</v>
      </c>
      <c r="G16" s="73" t="n">
        <v>95</v>
      </c>
      <c r="H16" s="74" t="n">
        <v>93</v>
      </c>
      <c r="I16" s="75" t="n">
        <f aca="false">1-G16/H16</f>
        <v>-0.021505376344086</v>
      </c>
      <c r="J16" s="67"/>
      <c r="K16" s="68" t="n">
        <v>31</v>
      </c>
      <c r="L16" s="68" t="n">
        <v>1</v>
      </c>
      <c r="M16" s="69" t="n">
        <f aca="false">H16*L16</f>
        <v>93</v>
      </c>
      <c r="N16" s="69"/>
      <c r="O16" s="69"/>
    </row>
    <row r="17" customFormat="false" ht="30.65" hidden="false" customHeight="true" outlineLevel="0" collapsed="false">
      <c r="E17" s="71" t="s">
        <v>105</v>
      </c>
      <c r="F17" s="72" t="s">
        <v>62</v>
      </c>
      <c r="G17" s="73" t="n">
        <v>95</v>
      </c>
      <c r="H17" s="74" t="n">
        <v>93</v>
      </c>
      <c r="I17" s="75" t="n">
        <f aca="false">1-G17/H17</f>
        <v>-0.021505376344086</v>
      </c>
      <c r="J17" s="67"/>
      <c r="K17" s="68" t="n">
        <v>31</v>
      </c>
      <c r="L17" s="68" t="n">
        <v>3</v>
      </c>
      <c r="M17" s="69" t="n">
        <f aca="false">H17*L17</f>
        <v>279</v>
      </c>
      <c r="N17" s="69"/>
      <c r="O17" s="69"/>
    </row>
    <row r="18" customFormat="false" ht="13.8" hidden="false" customHeight="false" outlineLevel="0" collapsed="false">
      <c r="E18" s="68" t="s">
        <v>7</v>
      </c>
      <c r="F18" s="68"/>
      <c r="G18" s="76" t="n">
        <f aca="false">SUM(G6:G17)</f>
        <v>2972</v>
      </c>
      <c r="H18" s="76" t="n">
        <f aca="false">SUM(H6:H17)</f>
        <v>2961</v>
      </c>
      <c r="I18" s="68"/>
      <c r="J18" s="67"/>
      <c r="K18" s="68"/>
      <c r="L18" s="68"/>
      <c r="M18" s="69" t="n">
        <f aca="false">SUM(M6:M17)</f>
        <v>6555</v>
      </c>
      <c r="N18" s="69"/>
      <c r="O18" s="69"/>
    </row>
    <row r="19" customFormat="false" ht="13.8" hidden="false" customHeight="false" outlineLevel="0" collapsed="false">
      <c r="E19" s="68"/>
      <c r="F19" s="68"/>
      <c r="G19" s="68"/>
      <c r="H19" s="68"/>
      <c r="I19" s="68"/>
      <c r="J19" s="67"/>
      <c r="K19" s="68"/>
      <c r="L19" s="68"/>
      <c r="M19" s="69"/>
      <c r="N19" s="69"/>
      <c r="O19" s="69"/>
    </row>
    <row r="20" customFormat="false" ht="13.8" hidden="false" customHeight="false" outlineLevel="0" collapsed="false">
      <c r="E20" s="68"/>
      <c r="F20" s="68"/>
      <c r="G20" s="68"/>
      <c r="H20" s="68"/>
      <c r="I20" s="68"/>
      <c r="J20" s="67"/>
      <c r="K20" s="68"/>
      <c r="L20" s="68"/>
      <c r="M20" s="69"/>
      <c r="N20" s="69"/>
      <c r="O20" s="69"/>
    </row>
    <row r="21" customFormat="false" ht="13.8" hidden="false" customHeight="false" outlineLevel="0" collapsed="false">
      <c r="E21" s="68"/>
      <c r="F21" s="68"/>
      <c r="G21" s="68"/>
      <c r="H21" s="68"/>
      <c r="I21" s="68"/>
      <c r="J21" s="67"/>
      <c r="K21" s="68"/>
      <c r="L21" s="68"/>
      <c r="M21" s="69"/>
      <c r="N21" s="69"/>
      <c r="O21" s="69"/>
    </row>
    <row r="22" customFormat="false" ht="13.8" hidden="false" customHeight="false" outlineLevel="0" collapsed="false">
      <c r="E22" s="68"/>
      <c r="F22" s="68"/>
      <c r="G22" s="68"/>
      <c r="H22" s="68"/>
      <c r="I22" s="68"/>
      <c r="J22" s="67"/>
      <c r="K22" s="68"/>
      <c r="L22" s="68"/>
      <c r="M22" s="69"/>
      <c r="N22" s="69"/>
      <c r="O22" s="69"/>
    </row>
    <row r="23" customFormat="false" ht="21.55" hidden="false" customHeight="true" outlineLevel="0" collapsed="false">
      <c r="E23" s="66" t="s">
        <v>106</v>
      </c>
      <c r="F23" s="66"/>
      <c r="G23" s="66"/>
      <c r="H23" s="66"/>
      <c r="I23" s="66"/>
      <c r="J23" s="67"/>
      <c r="K23" s="68"/>
      <c r="L23" s="68"/>
      <c r="M23" s="69"/>
      <c r="N23" s="69"/>
      <c r="O23" s="69"/>
    </row>
    <row r="24" customFormat="false" ht="21.55" hidden="false" customHeight="true" outlineLevel="0" collapsed="false">
      <c r="E24" s="68"/>
      <c r="F24" s="68"/>
      <c r="G24" s="68"/>
      <c r="H24" s="68"/>
      <c r="I24" s="68"/>
      <c r="J24" s="67"/>
      <c r="K24" s="68"/>
      <c r="L24" s="68"/>
      <c r="M24" s="69"/>
      <c r="N24" s="69"/>
      <c r="O24" s="69"/>
    </row>
    <row r="25" customFormat="false" ht="21.55" hidden="false" customHeight="true" outlineLevel="0" collapsed="false">
      <c r="E25" s="70" t="s">
        <v>95</v>
      </c>
      <c r="F25" s="70" t="s">
        <v>96</v>
      </c>
      <c r="G25" s="70" t="s">
        <v>97</v>
      </c>
      <c r="H25" s="70" t="s">
        <v>98</v>
      </c>
      <c r="I25" s="70" t="s">
        <v>99</v>
      </c>
      <c r="J25" s="67"/>
      <c r="K25" s="68" t="s">
        <v>100</v>
      </c>
      <c r="L25" s="68" t="s">
        <v>101</v>
      </c>
      <c r="M25" s="68" t="s">
        <v>102</v>
      </c>
      <c r="N25" s="69"/>
      <c r="O25" s="69"/>
    </row>
    <row r="26" customFormat="false" ht="21.55" hidden="false" customHeight="true" outlineLevel="0" collapsed="false">
      <c r="E26" s="71" t="s">
        <v>20</v>
      </c>
      <c r="F26" s="72" t="s">
        <v>51</v>
      </c>
      <c r="G26" s="73" t="n">
        <v>1082</v>
      </c>
      <c r="H26" s="74" t="n">
        <f aca="false">K26*3</f>
        <v>1077</v>
      </c>
      <c r="I26" s="75" t="n">
        <f aca="false">1-G26/H26</f>
        <v>-0.00464252553389044</v>
      </c>
      <c r="J26" s="67"/>
      <c r="K26" s="68" t="n">
        <v>359</v>
      </c>
      <c r="L26" s="68" t="n">
        <v>3</v>
      </c>
      <c r="M26" s="69" t="n">
        <f aca="false">H26*L26</f>
        <v>3231</v>
      </c>
      <c r="N26" s="69"/>
      <c r="O26" s="69"/>
    </row>
    <row r="27" customFormat="false" ht="21.55" hidden="false" customHeight="true" outlineLevel="0" collapsed="false">
      <c r="E27" s="71" t="s">
        <v>21</v>
      </c>
      <c r="F27" s="72" t="s">
        <v>52</v>
      </c>
      <c r="G27" s="73" t="n">
        <v>893</v>
      </c>
      <c r="H27" s="74" t="n">
        <f aca="false">K27*3</f>
        <v>891</v>
      </c>
      <c r="I27" s="75" t="n">
        <f aca="false">1-G27/H27</f>
        <v>-0.00224466891133557</v>
      </c>
      <c r="J27" s="67"/>
      <c r="K27" s="68" t="n">
        <v>297</v>
      </c>
      <c r="L27" s="68" t="n">
        <v>3</v>
      </c>
      <c r="M27" s="69" t="n">
        <f aca="false">H27*L27</f>
        <v>2673</v>
      </c>
      <c r="N27" s="69"/>
      <c r="O27" s="69"/>
    </row>
    <row r="28" customFormat="false" ht="21.55" hidden="false" customHeight="true" outlineLevel="0" collapsed="false">
      <c r="E28" s="71" t="s">
        <v>24</v>
      </c>
      <c r="F28" s="72" t="s">
        <v>53</v>
      </c>
      <c r="G28" s="73" t="n">
        <v>583</v>
      </c>
      <c r="H28" s="74" t="n">
        <f aca="false">K28*3</f>
        <v>576</v>
      </c>
      <c r="I28" s="75" t="n">
        <f aca="false">1-G28/H28</f>
        <v>-0.0121527777777777</v>
      </c>
      <c r="J28" s="67"/>
      <c r="K28" s="68" t="n">
        <v>192</v>
      </c>
      <c r="L28" s="68" t="n">
        <v>3</v>
      </c>
      <c r="M28" s="69" t="n">
        <f aca="false">H28*L28</f>
        <v>1728</v>
      </c>
      <c r="N28" s="69"/>
      <c r="O28" s="69"/>
    </row>
    <row r="29" customFormat="false" ht="21.55" hidden="false" customHeight="true" outlineLevel="0" collapsed="false">
      <c r="E29" s="71" t="s">
        <v>27</v>
      </c>
      <c r="F29" s="72" t="s">
        <v>54</v>
      </c>
      <c r="G29" s="73" t="n">
        <v>568</v>
      </c>
      <c r="H29" s="74" t="n">
        <f aca="false">K29*3</f>
        <v>570</v>
      </c>
      <c r="I29" s="75" t="n">
        <f aca="false">1-G29/H29</f>
        <v>0.00350877192982457</v>
      </c>
      <c r="J29" s="67"/>
      <c r="K29" s="68" t="n">
        <v>190</v>
      </c>
      <c r="L29" s="68" t="n">
        <v>1</v>
      </c>
      <c r="M29" s="69" t="n">
        <f aca="false">H29*L29</f>
        <v>570</v>
      </c>
      <c r="N29" s="69"/>
      <c r="O29" s="69"/>
    </row>
    <row r="30" customFormat="false" ht="21.55" hidden="false" customHeight="true" outlineLevel="0" collapsed="false">
      <c r="E30" s="71" t="s">
        <v>22</v>
      </c>
      <c r="F30" s="72" t="s">
        <v>55</v>
      </c>
      <c r="G30" s="73" t="n">
        <v>568</v>
      </c>
      <c r="H30" s="74" t="n">
        <f aca="false">K30*3</f>
        <v>573</v>
      </c>
      <c r="I30" s="75" t="n">
        <f aca="false">1-G30/H30</f>
        <v>0.00872600349040142</v>
      </c>
      <c r="J30" s="67"/>
      <c r="K30" s="68" t="n">
        <v>191</v>
      </c>
      <c r="L30" s="68" t="n">
        <v>1</v>
      </c>
      <c r="M30" s="69" t="n">
        <f aca="false">H30*L30</f>
        <v>573</v>
      </c>
      <c r="N30" s="69"/>
      <c r="O30" s="69"/>
    </row>
    <row r="31" customFormat="false" ht="21.55" hidden="false" customHeight="true" outlineLevel="0" collapsed="false">
      <c r="E31" s="71" t="s">
        <v>29</v>
      </c>
      <c r="F31" s="72" t="s">
        <v>56</v>
      </c>
      <c r="G31" s="73" t="n">
        <v>343</v>
      </c>
      <c r="H31" s="74" t="n">
        <f aca="false">K31*3</f>
        <v>345</v>
      </c>
      <c r="I31" s="75" t="n">
        <f aca="false">1-G31/H31</f>
        <v>0.00579710144927537</v>
      </c>
      <c r="J31" s="67"/>
      <c r="K31" s="68" t="n">
        <v>115</v>
      </c>
      <c r="L31" s="68" t="n">
        <v>1</v>
      </c>
      <c r="M31" s="69" t="n">
        <f aca="false">H31*L31</f>
        <v>345</v>
      </c>
      <c r="N31" s="69"/>
      <c r="O31" s="69"/>
    </row>
    <row r="32" customFormat="false" ht="21.55" hidden="false" customHeight="true" outlineLevel="0" collapsed="false">
      <c r="E32" s="71" t="s">
        <v>33</v>
      </c>
      <c r="F32" s="72" t="s">
        <v>57</v>
      </c>
      <c r="G32" s="73" t="n">
        <v>535</v>
      </c>
      <c r="H32" s="74" t="n">
        <f aca="false">K32*3</f>
        <v>534</v>
      </c>
      <c r="I32" s="75" t="n">
        <f aca="false">1-G32/H32</f>
        <v>-0.00187265917602986</v>
      </c>
      <c r="J32" s="67"/>
      <c r="K32" s="68" t="n">
        <v>178</v>
      </c>
      <c r="L32" s="68" t="n">
        <v>3</v>
      </c>
      <c r="M32" s="69" t="n">
        <f aca="false">H32*L32</f>
        <v>1602</v>
      </c>
      <c r="N32" s="69"/>
      <c r="O32" s="69"/>
    </row>
    <row r="33" customFormat="false" ht="21.55" hidden="false" customHeight="true" outlineLevel="0" collapsed="false">
      <c r="E33" s="71" t="s">
        <v>31</v>
      </c>
      <c r="F33" s="72" t="s">
        <v>58</v>
      </c>
      <c r="G33" s="73" t="n">
        <v>138</v>
      </c>
      <c r="H33" s="74" t="n">
        <f aca="false">K33*3</f>
        <v>135</v>
      </c>
      <c r="I33" s="75" t="n">
        <f aca="false">1-G33/H33</f>
        <v>-0.0222222222222221</v>
      </c>
      <c r="J33" s="67"/>
      <c r="K33" s="68" t="n">
        <v>45</v>
      </c>
      <c r="L33" s="68" t="n">
        <v>1</v>
      </c>
      <c r="M33" s="69" t="n">
        <f aca="false">H33*L33</f>
        <v>135</v>
      </c>
      <c r="N33" s="69"/>
      <c r="O33" s="69"/>
    </row>
    <row r="34" customFormat="false" ht="21.55" hidden="false" customHeight="true" outlineLevel="0" collapsed="false">
      <c r="E34" s="71" t="s">
        <v>25</v>
      </c>
      <c r="F34" s="72" t="s">
        <v>59</v>
      </c>
      <c r="G34" s="73" t="n">
        <v>668</v>
      </c>
      <c r="H34" s="74" t="n">
        <f aca="false">K34*3</f>
        <v>669</v>
      </c>
      <c r="I34" s="75" t="n">
        <f aca="false">1-G34/H34</f>
        <v>0.00149476831091178</v>
      </c>
      <c r="J34" s="67"/>
      <c r="K34" s="68" t="n">
        <v>223</v>
      </c>
      <c r="L34" s="68" t="n">
        <v>2</v>
      </c>
      <c r="M34" s="69" t="n">
        <f aca="false">H34*L34</f>
        <v>1338</v>
      </c>
      <c r="N34" s="69"/>
      <c r="O34" s="69"/>
    </row>
    <row r="35" customFormat="false" ht="21.55" hidden="false" customHeight="true" outlineLevel="0" collapsed="false">
      <c r="E35" s="71" t="s">
        <v>103</v>
      </c>
      <c r="F35" s="72" t="s">
        <v>60</v>
      </c>
      <c r="G35" s="73" t="n">
        <v>189</v>
      </c>
      <c r="H35" s="74" t="n">
        <f aca="false">K35*3</f>
        <v>189</v>
      </c>
      <c r="I35" s="75" t="n">
        <f aca="false">1-G35/H35</f>
        <v>0</v>
      </c>
      <c r="J35" s="67"/>
      <c r="K35" s="68" t="n">
        <v>63</v>
      </c>
      <c r="L35" s="68" t="n">
        <v>1</v>
      </c>
      <c r="M35" s="69" t="n">
        <f aca="false">H35*L35</f>
        <v>189</v>
      </c>
      <c r="N35" s="69"/>
      <c r="O35" s="69"/>
    </row>
    <row r="36" customFormat="false" ht="21.55" hidden="false" customHeight="true" outlineLevel="0" collapsed="false">
      <c r="E36" s="71" t="s">
        <v>104</v>
      </c>
      <c r="F36" s="72" t="s">
        <v>61</v>
      </c>
      <c r="G36" s="73" t="n">
        <v>189</v>
      </c>
      <c r="H36" s="74" t="n">
        <f aca="false">K36*3</f>
        <v>189</v>
      </c>
      <c r="I36" s="75" t="n">
        <f aca="false">1-G36/H36</f>
        <v>0</v>
      </c>
      <c r="J36" s="67"/>
      <c r="K36" s="68" t="n">
        <v>63</v>
      </c>
      <c r="L36" s="68" t="n">
        <v>1</v>
      </c>
      <c r="M36" s="69" t="n">
        <f aca="false">H36*L36</f>
        <v>189</v>
      </c>
      <c r="N36" s="69"/>
      <c r="O36" s="69"/>
    </row>
    <row r="37" customFormat="false" ht="30.65" hidden="false" customHeight="true" outlineLevel="0" collapsed="false">
      <c r="E37" s="71" t="s">
        <v>105</v>
      </c>
      <c r="F37" s="72" t="s">
        <v>62</v>
      </c>
      <c r="G37" s="73" t="n">
        <v>189</v>
      </c>
      <c r="H37" s="74" t="n">
        <f aca="false">K37*3</f>
        <v>189</v>
      </c>
      <c r="I37" s="75" t="n">
        <f aca="false">1-G37/H37</f>
        <v>0</v>
      </c>
      <c r="J37" s="67"/>
      <c r="K37" s="68" t="n">
        <v>63</v>
      </c>
      <c r="L37" s="68" t="n">
        <v>3</v>
      </c>
      <c r="M37" s="69" t="n">
        <f aca="false">H37*L37</f>
        <v>567</v>
      </c>
      <c r="N37" s="69"/>
      <c r="O37" s="69"/>
    </row>
    <row r="38" customFormat="false" ht="21.55" hidden="false" customHeight="true" outlineLevel="0" collapsed="false">
      <c r="E38" s="68" t="s">
        <v>7</v>
      </c>
      <c r="F38" s="68"/>
      <c r="G38" s="76" t="n">
        <f aca="false">SUM(G26:G37)</f>
        <v>5945</v>
      </c>
      <c r="H38" s="76" t="n">
        <f aca="false">SUM(H26:H37)</f>
        <v>5937</v>
      </c>
      <c r="I38" s="68"/>
      <c r="J38" s="67"/>
      <c r="K38" s="68"/>
      <c r="L38" s="68"/>
      <c r="M38" s="69" t="n">
        <f aca="false">SUM(M26:M37)</f>
        <v>13140</v>
      </c>
      <c r="N38" s="69"/>
      <c r="O38" s="69"/>
    </row>
    <row r="39" customFormat="false" ht="21.55" hidden="false" customHeight="true" outlineLevel="0" collapsed="false">
      <c r="E39" s="68"/>
      <c r="F39" s="68"/>
      <c r="G39" s="68"/>
      <c r="H39" s="68"/>
      <c r="I39" s="68"/>
      <c r="J39" s="67"/>
      <c r="K39" s="68"/>
      <c r="L39" s="68"/>
      <c r="M39" s="69"/>
      <c r="N39" s="69"/>
      <c r="O39" s="69"/>
    </row>
    <row r="40" customFormat="false" ht="13.8" hidden="false" customHeight="false" outlineLevel="0" collapsed="false">
      <c r="E40" s="68"/>
      <c r="F40" s="68"/>
      <c r="G40" s="68"/>
      <c r="H40" s="68"/>
      <c r="I40" s="68"/>
      <c r="J40" s="67"/>
      <c r="K40" s="68"/>
      <c r="L40" s="68"/>
      <c r="M40" s="69"/>
      <c r="N40" s="69"/>
      <c r="O40" s="69"/>
    </row>
    <row r="41" customFormat="false" ht="13.8" hidden="false" customHeight="false" outlineLevel="0" collapsed="false">
      <c r="E41" s="66" t="s">
        <v>107</v>
      </c>
      <c r="F41" s="66"/>
      <c r="G41" s="66"/>
      <c r="H41" s="66"/>
      <c r="I41" s="66"/>
      <c r="J41" s="67"/>
      <c r="K41" s="68"/>
      <c r="L41" s="68"/>
      <c r="M41" s="69"/>
      <c r="N41" s="69"/>
      <c r="O41" s="69"/>
    </row>
    <row r="42" customFormat="false" ht="13.8" hidden="false" customHeight="false" outlineLevel="0" collapsed="false">
      <c r="E42" s="68"/>
      <c r="F42" s="68"/>
      <c r="G42" s="68"/>
      <c r="H42" s="68"/>
      <c r="I42" s="68"/>
      <c r="J42" s="67"/>
      <c r="K42" s="68"/>
      <c r="L42" s="68"/>
      <c r="M42" s="69"/>
      <c r="N42" s="69"/>
      <c r="O42" s="69"/>
    </row>
    <row r="43" customFormat="false" ht="31.3" hidden="false" customHeight="false" outlineLevel="0" collapsed="false">
      <c r="E43" s="70" t="s">
        <v>95</v>
      </c>
      <c r="F43" s="70" t="s">
        <v>96</v>
      </c>
      <c r="G43" s="70" t="s">
        <v>97</v>
      </c>
      <c r="H43" s="70" t="s">
        <v>98</v>
      </c>
      <c r="I43" s="70" t="s">
        <v>99</v>
      </c>
      <c r="J43" s="67"/>
      <c r="K43" s="68" t="s">
        <v>100</v>
      </c>
      <c r="L43" s="68" t="s">
        <v>101</v>
      </c>
      <c r="M43" s="68" t="s">
        <v>102</v>
      </c>
      <c r="N43" s="77"/>
      <c r="O43" s="77"/>
    </row>
    <row r="44" customFormat="false" ht="16.4" hidden="false" customHeight="false" outlineLevel="0" collapsed="false">
      <c r="E44" s="71" t="s">
        <v>20</v>
      </c>
      <c r="F44" s="72" t="s">
        <v>51</v>
      </c>
      <c r="G44" s="73" t="n">
        <v>1082</v>
      </c>
      <c r="H44" s="74" t="n">
        <v>1077</v>
      </c>
      <c r="I44" s="75" t="n">
        <f aca="false">1-G44/H44</f>
        <v>-0.00464252553389044</v>
      </c>
      <c r="J44" s="67"/>
      <c r="K44" s="68"/>
      <c r="L44" s="68" t="n">
        <v>3</v>
      </c>
      <c r="M44" s="69" t="n">
        <f aca="false">H44*L44</f>
        <v>3231</v>
      </c>
      <c r="N44" s="77"/>
      <c r="O44" s="77"/>
    </row>
    <row r="45" customFormat="false" ht="16.4" hidden="false" customHeight="false" outlineLevel="0" collapsed="false">
      <c r="E45" s="71" t="s">
        <v>21</v>
      </c>
      <c r="F45" s="72" t="s">
        <v>52</v>
      </c>
      <c r="G45" s="73" t="n">
        <v>893</v>
      </c>
      <c r="H45" s="74" t="n">
        <v>889</v>
      </c>
      <c r="I45" s="75" t="n">
        <f aca="false">1-G45/H45</f>
        <v>-0.0044994375703038</v>
      </c>
      <c r="J45" s="67"/>
      <c r="K45" s="68"/>
      <c r="L45" s="68" t="n">
        <v>3</v>
      </c>
      <c r="M45" s="69" t="n">
        <f aca="false">H45*L45</f>
        <v>2667</v>
      </c>
      <c r="N45" s="77"/>
      <c r="O45" s="77"/>
    </row>
    <row r="46" customFormat="false" ht="16.4" hidden="false" customHeight="false" outlineLevel="0" collapsed="false">
      <c r="E46" s="71" t="s">
        <v>24</v>
      </c>
      <c r="F46" s="72" t="s">
        <v>53</v>
      </c>
      <c r="G46" s="73" t="n">
        <v>583</v>
      </c>
      <c r="H46" s="74" t="n">
        <v>580</v>
      </c>
      <c r="I46" s="75" t="n">
        <f aca="false">1-G46/H46</f>
        <v>-0.00517241379310351</v>
      </c>
      <c r="J46" s="67"/>
      <c r="K46" s="68"/>
      <c r="L46" s="68" t="n">
        <v>3</v>
      </c>
      <c r="M46" s="69" t="n">
        <f aca="false">H46*L46</f>
        <v>1740</v>
      </c>
      <c r="N46" s="77"/>
      <c r="O46" s="77"/>
    </row>
    <row r="47" customFormat="false" ht="16.4" hidden="false" customHeight="false" outlineLevel="0" collapsed="false">
      <c r="E47" s="71" t="s">
        <v>27</v>
      </c>
      <c r="F47" s="72" t="s">
        <v>54</v>
      </c>
      <c r="G47" s="73" t="n">
        <v>568</v>
      </c>
      <c r="H47" s="74" t="n">
        <v>568</v>
      </c>
      <c r="I47" s="75" t="n">
        <f aca="false">1-G47/H47</f>
        <v>0</v>
      </c>
      <c r="J47" s="67"/>
      <c r="K47" s="68"/>
      <c r="L47" s="68" t="n">
        <v>1</v>
      </c>
      <c r="M47" s="69" t="n">
        <f aca="false">H47*L47</f>
        <v>568</v>
      </c>
      <c r="N47" s="77"/>
      <c r="O47" s="77"/>
    </row>
    <row r="48" customFormat="false" ht="16.4" hidden="false" customHeight="false" outlineLevel="0" collapsed="false">
      <c r="E48" s="71" t="s">
        <v>22</v>
      </c>
      <c r="F48" s="72" t="s">
        <v>55</v>
      </c>
      <c r="G48" s="73" t="n">
        <v>568</v>
      </c>
      <c r="H48" s="74" t="n">
        <v>569</v>
      </c>
      <c r="I48" s="75" t="n">
        <f aca="false">1-G48/H48</f>
        <v>0.00175746924428821</v>
      </c>
      <c r="J48" s="67"/>
      <c r="K48" s="68"/>
      <c r="L48" s="68" t="n">
        <v>1</v>
      </c>
      <c r="M48" s="69" t="n">
        <f aca="false">H48*L48</f>
        <v>569</v>
      </c>
      <c r="N48" s="77"/>
      <c r="O48" s="77"/>
    </row>
    <row r="49" customFormat="false" ht="16.4" hidden="false" customHeight="false" outlineLevel="0" collapsed="false">
      <c r="E49" s="71" t="s">
        <v>29</v>
      </c>
      <c r="F49" s="72" t="s">
        <v>56</v>
      </c>
      <c r="G49" s="73" t="n">
        <v>343</v>
      </c>
      <c r="H49" s="74" t="n">
        <v>342</v>
      </c>
      <c r="I49" s="75" t="n">
        <f aca="false">1-G49/H49</f>
        <v>-0.00292397660818722</v>
      </c>
      <c r="J49" s="67"/>
      <c r="K49" s="68"/>
      <c r="L49" s="68" t="n">
        <v>1</v>
      </c>
      <c r="M49" s="69" t="n">
        <f aca="false">H49*L49</f>
        <v>342</v>
      </c>
      <c r="N49" s="77"/>
      <c r="O49" s="77"/>
    </row>
    <row r="50" customFormat="false" ht="16.4" hidden="false" customHeight="false" outlineLevel="0" collapsed="false">
      <c r="E50" s="71" t="s">
        <v>33</v>
      </c>
      <c r="F50" s="72" t="s">
        <v>57</v>
      </c>
      <c r="G50" s="73" t="n">
        <v>535</v>
      </c>
      <c r="H50" s="74" t="n">
        <v>533</v>
      </c>
      <c r="I50" s="75" t="n">
        <f aca="false">1-G50/H50</f>
        <v>-0.00375234521575996</v>
      </c>
      <c r="J50" s="67"/>
      <c r="K50" s="68"/>
      <c r="L50" s="68" t="n">
        <v>3</v>
      </c>
      <c r="M50" s="69" t="n">
        <f aca="false">H50*L50</f>
        <v>1599</v>
      </c>
      <c r="N50" s="77"/>
      <c r="O50" s="77"/>
    </row>
    <row r="51" customFormat="false" ht="16.4" hidden="false" customHeight="false" outlineLevel="0" collapsed="false">
      <c r="E51" s="71" t="s">
        <v>31</v>
      </c>
      <c r="F51" s="72" t="s">
        <v>58</v>
      </c>
      <c r="G51" s="73" t="n">
        <v>138</v>
      </c>
      <c r="H51" s="74" t="n">
        <v>138</v>
      </c>
      <c r="I51" s="75" t="n">
        <f aca="false">1-G51/H51</f>
        <v>0</v>
      </c>
      <c r="J51" s="67"/>
      <c r="K51" s="68"/>
      <c r="L51" s="68" t="n">
        <v>1</v>
      </c>
      <c r="M51" s="69" t="n">
        <f aca="false">H51*L51</f>
        <v>138</v>
      </c>
      <c r="N51" s="69"/>
      <c r="O51" s="69"/>
    </row>
    <row r="52" customFormat="false" ht="16.4" hidden="false" customHeight="false" outlineLevel="0" collapsed="false">
      <c r="E52" s="71" t="s">
        <v>25</v>
      </c>
      <c r="F52" s="72" t="s">
        <v>59</v>
      </c>
      <c r="G52" s="73" t="n">
        <v>668</v>
      </c>
      <c r="H52" s="74" t="n">
        <v>663</v>
      </c>
      <c r="I52" s="75" t="n">
        <f aca="false">1-G52/H52</f>
        <v>-0.0075414781297134</v>
      </c>
      <c r="J52" s="67"/>
      <c r="K52" s="68"/>
      <c r="L52" s="68" t="n">
        <v>2</v>
      </c>
      <c r="M52" s="69" t="n">
        <f aca="false">H52*L52</f>
        <v>1326</v>
      </c>
      <c r="N52" s="69"/>
      <c r="O52" s="69"/>
    </row>
    <row r="53" customFormat="false" ht="16.4" hidden="false" customHeight="false" outlineLevel="0" collapsed="false">
      <c r="E53" s="71" t="s">
        <v>103</v>
      </c>
      <c r="F53" s="72" t="s">
        <v>60</v>
      </c>
      <c r="G53" s="73" t="n">
        <v>189</v>
      </c>
      <c r="H53" s="74" t="n">
        <v>189</v>
      </c>
      <c r="I53" s="75" t="n">
        <f aca="false">1-G53/H53</f>
        <v>0</v>
      </c>
      <c r="J53" s="67"/>
      <c r="K53" s="68"/>
      <c r="L53" s="68" t="n">
        <v>1</v>
      </c>
      <c r="M53" s="69" t="n">
        <f aca="false">H53*L53</f>
        <v>189</v>
      </c>
      <c r="N53" s="69"/>
      <c r="O53" s="69"/>
    </row>
    <row r="54" customFormat="false" ht="16.4" hidden="false" customHeight="false" outlineLevel="0" collapsed="false">
      <c r="E54" s="71" t="s">
        <v>104</v>
      </c>
      <c r="F54" s="72" t="s">
        <v>61</v>
      </c>
      <c r="G54" s="73" t="n">
        <v>189</v>
      </c>
      <c r="H54" s="74" t="n">
        <v>189</v>
      </c>
      <c r="I54" s="75" t="n">
        <f aca="false">1-G54/H54</f>
        <v>0</v>
      </c>
      <c r="J54" s="67"/>
      <c r="K54" s="68"/>
      <c r="L54" s="68" t="n">
        <v>1</v>
      </c>
      <c r="M54" s="69" t="n">
        <f aca="false">H54*L54</f>
        <v>189</v>
      </c>
      <c r="N54" s="69"/>
      <c r="O54" s="69"/>
    </row>
    <row r="55" customFormat="false" ht="31.3" hidden="false" customHeight="false" outlineLevel="0" collapsed="false">
      <c r="E55" s="71" t="s">
        <v>105</v>
      </c>
      <c r="F55" s="72" t="s">
        <v>62</v>
      </c>
      <c r="G55" s="73" t="n">
        <v>189</v>
      </c>
      <c r="H55" s="74" t="n">
        <v>189</v>
      </c>
      <c r="I55" s="75" t="n">
        <f aca="false">1-G55/H55</f>
        <v>0</v>
      </c>
      <c r="J55" s="67"/>
      <c r="K55" s="68"/>
      <c r="L55" s="68" t="n">
        <v>3</v>
      </c>
      <c r="M55" s="69" t="n">
        <f aca="false">H55*L55</f>
        <v>567</v>
      </c>
      <c r="N55" s="69"/>
      <c r="O55" s="69"/>
    </row>
    <row r="56" customFormat="false" ht="13.8" hidden="false" customHeight="false" outlineLevel="0" collapsed="false">
      <c r="E56" s="68" t="s">
        <v>7</v>
      </c>
      <c r="F56" s="68"/>
      <c r="G56" s="76" t="n">
        <f aca="false">SUM(G44:G55)</f>
        <v>5945</v>
      </c>
      <c r="H56" s="76" t="n">
        <f aca="false">SUM(H44:H55)</f>
        <v>5926</v>
      </c>
      <c r="I56" s="68"/>
      <c r="J56" s="67"/>
      <c r="K56" s="68"/>
      <c r="L56" s="68"/>
      <c r="M56" s="69" t="n">
        <f aca="false">SUM(M44:M55)</f>
        <v>13125</v>
      </c>
      <c r="N56" s="69"/>
      <c r="O56" s="69"/>
    </row>
    <row r="57" customFormat="false" ht="13.8" hidden="false" customHeight="false" outlineLevel="0" collapsed="false">
      <c r="E57" s="68"/>
      <c r="F57" s="68"/>
      <c r="G57" s="68"/>
      <c r="H57" s="68"/>
      <c r="I57" s="68"/>
      <c r="J57" s="67"/>
      <c r="K57" s="68"/>
      <c r="L57" s="68"/>
      <c r="M57" s="69"/>
      <c r="N57" s="69"/>
      <c r="O57" s="69"/>
    </row>
    <row r="58" customFormat="false" ht="13.8" hidden="false" customHeight="false" outlineLevel="0" collapsed="false">
      <c r="E58" s="68"/>
      <c r="F58" s="68"/>
      <c r="G58" s="68"/>
      <c r="H58" s="68"/>
      <c r="I58" s="68"/>
      <c r="J58" s="67"/>
      <c r="K58" s="68"/>
      <c r="L58" s="68"/>
      <c r="M58" s="69"/>
      <c r="N58" s="69"/>
      <c r="O58" s="69"/>
    </row>
    <row r="59" customFormat="false" ht="13.8" hidden="false" customHeight="false" outlineLevel="0" collapsed="false">
      <c r="E59" s="68"/>
      <c r="F59" s="68"/>
      <c r="G59" s="68"/>
      <c r="H59" s="68"/>
      <c r="I59" s="68"/>
      <c r="J59" s="67"/>
      <c r="K59" s="68"/>
      <c r="L59" s="68"/>
      <c r="M59" s="69"/>
      <c r="N59" s="69"/>
      <c r="O59" s="69"/>
    </row>
    <row r="60" customFormat="false" ht="13.8" hidden="false" customHeight="false" outlineLevel="0" collapsed="false">
      <c r="E60" s="66" t="s">
        <v>108</v>
      </c>
      <c r="F60" s="66"/>
      <c r="G60" s="66"/>
      <c r="H60" s="66"/>
      <c r="I60" s="66"/>
      <c r="J60" s="67"/>
      <c r="K60" s="68"/>
      <c r="L60" s="68"/>
      <c r="M60" s="69"/>
      <c r="N60" s="69"/>
      <c r="O60" s="69"/>
    </row>
    <row r="61" customFormat="false" ht="13.8" hidden="false" customHeight="false" outlineLevel="0" collapsed="false">
      <c r="E61" s="68"/>
      <c r="F61" s="68"/>
      <c r="G61" s="68"/>
      <c r="H61" s="68"/>
      <c r="I61" s="68"/>
      <c r="J61" s="67"/>
      <c r="K61" s="68"/>
      <c r="L61" s="68"/>
      <c r="M61" s="69"/>
      <c r="N61" s="69"/>
      <c r="O61" s="69"/>
    </row>
    <row r="62" customFormat="false" ht="31.3" hidden="false" customHeight="false" outlineLevel="0" collapsed="false">
      <c r="E62" s="70" t="s">
        <v>95</v>
      </c>
      <c r="F62" s="70" t="s">
        <v>96</v>
      </c>
      <c r="G62" s="70" t="s">
        <v>97</v>
      </c>
      <c r="H62" s="70" t="s">
        <v>98</v>
      </c>
      <c r="I62" s="70" t="s">
        <v>99</v>
      </c>
      <c r="J62" s="67"/>
      <c r="K62" s="68" t="s">
        <v>100</v>
      </c>
      <c r="L62" s="68" t="s">
        <v>101</v>
      </c>
      <c r="M62" s="68" t="s">
        <v>102</v>
      </c>
      <c r="N62" s="77"/>
      <c r="O62" s="77"/>
    </row>
    <row r="63" customFormat="false" ht="16.4" hidden="false" customHeight="false" outlineLevel="0" collapsed="false">
      <c r="E63" s="71" t="s">
        <v>20</v>
      </c>
      <c r="F63" s="72" t="s">
        <v>51</v>
      </c>
      <c r="G63" s="73" t="n">
        <v>1623</v>
      </c>
      <c r="H63" s="74" t="n">
        <f aca="false">K63*3</f>
        <v>1482</v>
      </c>
      <c r="I63" s="75" t="n">
        <f aca="false">1-G63/H63</f>
        <v>-0.0951417004048583</v>
      </c>
      <c r="J63" s="67"/>
      <c r="K63" s="68" t="n">
        <v>494</v>
      </c>
      <c r="L63" s="68" t="n">
        <v>3</v>
      </c>
      <c r="M63" s="69" t="n">
        <f aca="false">H63*L63</f>
        <v>4446</v>
      </c>
      <c r="N63" s="77"/>
      <c r="O63" s="77"/>
    </row>
    <row r="64" customFormat="false" ht="16.4" hidden="false" customHeight="false" outlineLevel="0" collapsed="false">
      <c r="E64" s="71" t="s">
        <v>21</v>
      </c>
      <c r="F64" s="72" t="s">
        <v>52</v>
      </c>
      <c r="G64" s="73" t="n">
        <v>1339</v>
      </c>
      <c r="H64" s="74" t="n">
        <f aca="false">K64*3</f>
        <v>1206</v>
      </c>
      <c r="I64" s="75" t="n">
        <f aca="false">1-G64/H64</f>
        <v>-0.11028192371476</v>
      </c>
      <c r="J64" s="67"/>
      <c r="K64" s="68" t="n">
        <v>402</v>
      </c>
      <c r="L64" s="68" t="n">
        <v>3</v>
      </c>
      <c r="M64" s="69" t="n">
        <f aca="false">H64*L64</f>
        <v>3618</v>
      </c>
      <c r="N64" s="77"/>
      <c r="O64" s="77"/>
    </row>
    <row r="65" customFormat="false" ht="16.4" hidden="false" customHeight="false" outlineLevel="0" collapsed="false">
      <c r="E65" s="71" t="s">
        <v>24</v>
      </c>
      <c r="F65" s="72" t="s">
        <v>53</v>
      </c>
      <c r="G65" s="73" t="n">
        <v>874</v>
      </c>
      <c r="H65" s="74" t="n">
        <f aca="false">K65*3</f>
        <v>744</v>
      </c>
      <c r="I65" s="75" t="n">
        <f aca="false">1-G65/H65</f>
        <v>-0.174731182795699</v>
      </c>
      <c r="J65" s="67"/>
      <c r="K65" s="68" t="n">
        <v>248</v>
      </c>
      <c r="L65" s="68" t="n">
        <v>3</v>
      </c>
      <c r="M65" s="69" t="n">
        <f aca="false">H65*L65</f>
        <v>2232</v>
      </c>
      <c r="N65" s="77"/>
      <c r="O65" s="77"/>
    </row>
    <row r="66" customFormat="false" ht="16.4" hidden="false" customHeight="false" outlineLevel="0" collapsed="false">
      <c r="E66" s="71" t="s">
        <v>27</v>
      </c>
      <c r="F66" s="72" t="s">
        <v>54</v>
      </c>
      <c r="G66" s="73" t="n">
        <v>852</v>
      </c>
      <c r="H66" s="74" t="n">
        <f aca="false">K66*3</f>
        <v>735</v>
      </c>
      <c r="I66" s="75" t="n">
        <f aca="false">1-G66/H66</f>
        <v>-0.159183673469388</v>
      </c>
      <c r="J66" s="67"/>
      <c r="K66" s="68" t="n">
        <v>245</v>
      </c>
      <c r="L66" s="68" t="n">
        <v>1</v>
      </c>
      <c r="M66" s="69" t="n">
        <f aca="false">H66*L66</f>
        <v>735</v>
      </c>
      <c r="N66" s="77"/>
      <c r="O66" s="77"/>
    </row>
    <row r="67" customFormat="false" ht="16.4" hidden="false" customHeight="false" outlineLevel="0" collapsed="false">
      <c r="E67" s="71" t="s">
        <v>22</v>
      </c>
      <c r="F67" s="72" t="s">
        <v>55</v>
      </c>
      <c r="G67" s="73" t="n">
        <v>852</v>
      </c>
      <c r="H67" s="74" t="n">
        <f aca="false">K67*3</f>
        <v>732</v>
      </c>
      <c r="I67" s="75" t="n">
        <f aca="false">1-G67/H67</f>
        <v>-0.163934426229508</v>
      </c>
      <c r="J67" s="67"/>
      <c r="K67" s="68" t="n">
        <v>244</v>
      </c>
      <c r="L67" s="68" t="n">
        <v>1</v>
      </c>
      <c r="M67" s="69" t="n">
        <f aca="false">H67*L67</f>
        <v>732</v>
      </c>
      <c r="N67" s="77"/>
      <c r="O67" s="77"/>
    </row>
    <row r="68" customFormat="false" ht="16.4" hidden="false" customHeight="false" outlineLevel="0" collapsed="false">
      <c r="E68" s="71" t="s">
        <v>29</v>
      </c>
      <c r="F68" s="72" t="s">
        <v>56</v>
      </c>
      <c r="G68" s="73" t="n">
        <v>514</v>
      </c>
      <c r="H68" s="74" t="n">
        <f aca="false">K68*3</f>
        <v>405</v>
      </c>
      <c r="I68" s="75" t="n">
        <f aca="false">1-G68/H68</f>
        <v>-0.269135802469136</v>
      </c>
      <c r="J68" s="67"/>
      <c r="K68" s="68" t="n">
        <v>135</v>
      </c>
      <c r="L68" s="68" t="n">
        <v>1</v>
      </c>
      <c r="M68" s="69" t="n">
        <f aca="false">H68*L68</f>
        <v>405</v>
      </c>
      <c r="N68" s="77"/>
      <c r="O68" s="77"/>
    </row>
    <row r="69" customFormat="false" ht="16.4" hidden="false" customHeight="false" outlineLevel="0" collapsed="false">
      <c r="E69" s="71" t="s">
        <v>33</v>
      </c>
      <c r="F69" s="72" t="s">
        <v>57</v>
      </c>
      <c r="G69" s="73" t="n">
        <v>802</v>
      </c>
      <c r="H69" s="74" t="n">
        <f aca="false">K69*3</f>
        <v>780</v>
      </c>
      <c r="I69" s="75" t="n">
        <f aca="false">1-G69/H69</f>
        <v>-0.0282051282051281</v>
      </c>
      <c r="J69" s="67"/>
      <c r="K69" s="68" t="n">
        <v>260</v>
      </c>
      <c r="L69" s="68" t="n">
        <v>3</v>
      </c>
      <c r="M69" s="69" t="n">
        <f aca="false">H69*L69</f>
        <v>2340</v>
      </c>
      <c r="N69" s="77"/>
      <c r="O69" s="77"/>
    </row>
    <row r="70" customFormat="false" ht="16.4" hidden="false" customHeight="false" outlineLevel="0" collapsed="false">
      <c r="E70" s="71" t="s">
        <v>31</v>
      </c>
      <c r="F70" s="72" t="s">
        <v>58</v>
      </c>
      <c r="G70" s="73" t="n">
        <v>208</v>
      </c>
      <c r="H70" s="74" t="n">
        <f aca="false">K70*3</f>
        <v>201</v>
      </c>
      <c r="I70" s="75" t="n">
        <f aca="false">1-G70/H70</f>
        <v>-0.0348258706467661</v>
      </c>
      <c r="J70" s="67"/>
      <c r="K70" s="68" t="n">
        <v>67</v>
      </c>
      <c r="L70" s="68" t="n">
        <v>1</v>
      </c>
      <c r="M70" s="69" t="n">
        <f aca="false">H70*L70</f>
        <v>201</v>
      </c>
      <c r="N70" s="69"/>
      <c r="O70" s="69"/>
    </row>
    <row r="71" customFormat="false" ht="16.4" hidden="false" customHeight="false" outlineLevel="0" collapsed="false">
      <c r="E71" s="71" t="s">
        <v>25</v>
      </c>
      <c r="F71" s="72" t="s">
        <v>59</v>
      </c>
      <c r="G71" s="73" t="n">
        <v>1002</v>
      </c>
      <c r="H71" s="74" t="n">
        <f aca="false">K71*3</f>
        <v>873</v>
      </c>
      <c r="I71" s="75" t="n">
        <f aca="false">1-G71/H71</f>
        <v>-0.147766323024055</v>
      </c>
      <c r="J71" s="67"/>
      <c r="K71" s="68" t="n">
        <v>291</v>
      </c>
      <c r="L71" s="68" t="n">
        <v>2</v>
      </c>
      <c r="M71" s="69" t="n">
        <f aca="false">H71*L71</f>
        <v>1746</v>
      </c>
      <c r="N71" s="69"/>
      <c r="O71" s="69"/>
    </row>
    <row r="72" customFormat="false" ht="16.4" hidden="false" customHeight="false" outlineLevel="0" collapsed="false">
      <c r="E72" s="71" t="s">
        <v>103</v>
      </c>
      <c r="F72" s="72" t="s">
        <v>60</v>
      </c>
      <c r="G72" s="73" t="n">
        <v>284</v>
      </c>
      <c r="H72" s="74" t="n">
        <f aca="false">K72*3</f>
        <v>279</v>
      </c>
      <c r="I72" s="75" t="n">
        <f aca="false">1-G72/H72</f>
        <v>-0.0179211469534051</v>
      </c>
      <c r="J72" s="67"/>
      <c r="K72" s="68" t="n">
        <v>93</v>
      </c>
      <c r="L72" s="68" t="n">
        <v>1</v>
      </c>
      <c r="M72" s="69" t="n">
        <f aca="false">H72*L72</f>
        <v>279</v>
      </c>
      <c r="N72" s="69"/>
      <c r="O72" s="69"/>
    </row>
    <row r="73" customFormat="false" ht="16.4" hidden="false" customHeight="false" outlineLevel="0" collapsed="false">
      <c r="E73" s="71" t="s">
        <v>104</v>
      </c>
      <c r="F73" s="72" t="s">
        <v>61</v>
      </c>
      <c r="G73" s="73" t="n">
        <v>284</v>
      </c>
      <c r="H73" s="74" t="n">
        <f aca="false">K73*3</f>
        <v>279</v>
      </c>
      <c r="I73" s="75" t="n">
        <f aca="false">1-G73/H73</f>
        <v>-0.0179211469534051</v>
      </c>
      <c r="J73" s="67"/>
      <c r="K73" s="68" t="n">
        <v>93</v>
      </c>
      <c r="L73" s="68" t="n">
        <v>1</v>
      </c>
      <c r="M73" s="69" t="n">
        <f aca="false">H73*L73</f>
        <v>279</v>
      </c>
      <c r="N73" s="69"/>
      <c r="O73" s="69"/>
    </row>
    <row r="74" customFormat="false" ht="31.3" hidden="false" customHeight="false" outlineLevel="0" collapsed="false">
      <c r="E74" s="71" t="s">
        <v>105</v>
      </c>
      <c r="F74" s="72" t="s">
        <v>62</v>
      </c>
      <c r="G74" s="73" t="n">
        <v>284</v>
      </c>
      <c r="H74" s="74" t="n">
        <f aca="false">K74*3</f>
        <v>279</v>
      </c>
      <c r="I74" s="75" t="n">
        <f aca="false">1-G74/H74</f>
        <v>-0.0179211469534051</v>
      </c>
      <c r="J74" s="67"/>
      <c r="K74" s="68" t="n">
        <v>93</v>
      </c>
      <c r="L74" s="68" t="n">
        <v>3</v>
      </c>
      <c r="M74" s="69" t="n">
        <f aca="false">H74*L74</f>
        <v>837</v>
      </c>
      <c r="N74" s="69"/>
      <c r="O74" s="69"/>
    </row>
    <row r="75" customFormat="false" ht="13.8" hidden="false" customHeight="false" outlineLevel="0" collapsed="false">
      <c r="E75" s="68" t="s">
        <v>7</v>
      </c>
      <c r="F75" s="68"/>
      <c r="G75" s="76" t="n">
        <f aca="false">SUM(G63:G74)</f>
        <v>8918</v>
      </c>
      <c r="H75" s="76" t="n">
        <f aca="false">SUM(H63:H74)</f>
        <v>7995</v>
      </c>
      <c r="I75" s="68"/>
      <c r="J75" s="67"/>
      <c r="K75" s="68"/>
      <c r="L75" s="68"/>
      <c r="M75" s="69" t="n">
        <f aca="false">SUM(M63:M74)</f>
        <v>17850</v>
      </c>
      <c r="N75" s="69"/>
      <c r="O75" s="69"/>
    </row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>
      <c r="E78" s="66" t="s">
        <v>109</v>
      </c>
      <c r="F78" s="66"/>
      <c r="G78" s="66"/>
      <c r="H78" s="66"/>
      <c r="I78" s="66"/>
      <c r="J78" s="67"/>
      <c r="K78" s="68"/>
      <c r="L78" s="68"/>
      <c r="M78" s="69"/>
    </row>
    <row r="79" customFormat="false" ht="13.8" hidden="false" customHeight="false" outlineLevel="0" collapsed="false">
      <c r="E79" s="68"/>
      <c r="F79" s="68"/>
      <c r="G79" s="68"/>
      <c r="H79" s="68"/>
      <c r="I79" s="68"/>
      <c r="J79" s="67"/>
      <c r="K79" s="68"/>
      <c r="L79" s="68"/>
      <c r="M79" s="69"/>
    </row>
    <row r="80" customFormat="false" ht="31.3" hidden="false" customHeight="false" outlineLevel="0" collapsed="false">
      <c r="E80" s="70" t="s">
        <v>95</v>
      </c>
      <c r="F80" s="70" t="s">
        <v>96</v>
      </c>
      <c r="G80" s="70" t="s">
        <v>97</v>
      </c>
      <c r="H80" s="70" t="s">
        <v>98</v>
      </c>
      <c r="I80" s="70" t="s">
        <v>99</v>
      </c>
      <c r="J80" s="67"/>
      <c r="K80" s="68" t="s">
        <v>100</v>
      </c>
      <c r="L80" s="68" t="s">
        <v>101</v>
      </c>
      <c r="M80" s="68" t="s">
        <v>102</v>
      </c>
    </row>
    <row r="81" customFormat="false" ht="16.4" hidden="false" customHeight="false" outlineLevel="0" collapsed="false">
      <c r="E81" s="71" t="s">
        <v>20</v>
      </c>
      <c r="F81" s="72" t="s">
        <v>51</v>
      </c>
      <c r="G81" s="73" t="n">
        <v>1082</v>
      </c>
      <c r="H81" s="74" t="n">
        <v>1082</v>
      </c>
      <c r="I81" s="75" t="n">
        <f aca="false">1-G81/H81</f>
        <v>0</v>
      </c>
      <c r="J81" s="67"/>
      <c r="K81" s="68"/>
      <c r="L81" s="68" t="n">
        <v>3</v>
      </c>
      <c r="M81" s="69" t="n">
        <f aca="false">H81*L81</f>
        <v>3246</v>
      </c>
    </row>
    <row r="82" customFormat="false" ht="16.4" hidden="false" customHeight="false" outlineLevel="0" collapsed="false">
      <c r="E82" s="71" t="s">
        <v>21</v>
      </c>
      <c r="F82" s="72" t="s">
        <v>52</v>
      </c>
      <c r="G82" s="73" t="n">
        <v>893</v>
      </c>
      <c r="H82" s="74" t="n">
        <v>890</v>
      </c>
      <c r="I82" s="75" t="n">
        <f aca="false">1-G82/H82</f>
        <v>-0.00337078651685396</v>
      </c>
      <c r="J82" s="67"/>
      <c r="K82" s="68"/>
      <c r="L82" s="68" t="n">
        <v>3</v>
      </c>
      <c r="M82" s="69" t="n">
        <f aca="false">H82*L82</f>
        <v>2670</v>
      </c>
    </row>
    <row r="83" customFormat="false" ht="16.4" hidden="false" customHeight="false" outlineLevel="0" collapsed="false">
      <c r="E83" s="71" t="s">
        <v>24</v>
      </c>
      <c r="F83" s="72" t="s">
        <v>53</v>
      </c>
      <c r="G83" s="73" t="n">
        <v>583</v>
      </c>
      <c r="H83" s="74" t="n">
        <v>580</v>
      </c>
      <c r="I83" s="75" t="n">
        <f aca="false">1-G83/H83</f>
        <v>-0.00517241379310351</v>
      </c>
      <c r="J83" s="67"/>
      <c r="K83" s="68"/>
      <c r="L83" s="68" t="n">
        <v>3</v>
      </c>
      <c r="M83" s="69" t="n">
        <f aca="false">H83*L83</f>
        <v>1740</v>
      </c>
    </row>
    <row r="84" customFormat="false" ht="16.4" hidden="false" customHeight="false" outlineLevel="0" collapsed="false">
      <c r="E84" s="71" t="s">
        <v>27</v>
      </c>
      <c r="F84" s="72" t="s">
        <v>54</v>
      </c>
      <c r="G84" s="73" t="n">
        <v>568</v>
      </c>
      <c r="H84" s="74" t="n">
        <v>567</v>
      </c>
      <c r="I84" s="75" t="n">
        <f aca="false">1-G84/H84</f>
        <v>-0.00176366843033504</v>
      </c>
      <c r="J84" s="67"/>
      <c r="K84" s="68"/>
      <c r="L84" s="68" t="n">
        <v>1</v>
      </c>
      <c r="M84" s="69" t="n">
        <f aca="false">H84*L84</f>
        <v>567</v>
      </c>
    </row>
    <row r="85" customFormat="false" ht="16.4" hidden="false" customHeight="false" outlineLevel="0" collapsed="false">
      <c r="E85" s="71" t="s">
        <v>22</v>
      </c>
      <c r="F85" s="72" t="s">
        <v>55</v>
      </c>
      <c r="G85" s="73" t="n">
        <v>568</v>
      </c>
      <c r="H85" s="74" t="n">
        <v>568</v>
      </c>
      <c r="I85" s="75" t="n">
        <f aca="false">1-G85/H85</f>
        <v>0</v>
      </c>
      <c r="J85" s="67"/>
      <c r="K85" s="68"/>
      <c r="L85" s="68" t="n">
        <v>1</v>
      </c>
      <c r="M85" s="69" t="n">
        <f aca="false">H85*L85</f>
        <v>568</v>
      </c>
    </row>
    <row r="86" customFormat="false" ht="16.4" hidden="false" customHeight="false" outlineLevel="0" collapsed="false">
      <c r="E86" s="71" t="s">
        <v>29</v>
      </c>
      <c r="F86" s="72" t="s">
        <v>56</v>
      </c>
      <c r="G86" s="73" t="n">
        <v>343</v>
      </c>
      <c r="H86" s="74" t="n">
        <v>343</v>
      </c>
      <c r="I86" s="75" t="n">
        <f aca="false">1-G86/H86</f>
        <v>0</v>
      </c>
      <c r="J86" s="67"/>
      <c r="K86" s="68"/>
      <c r="L86" s="68" t="n">
        <v>1</v>
      </c>
      <c r="M86" s="69" t="n">
        <f aca="false">H86*L86</f>
        <v>343</v>
      </c>
    </row>
    <row r="87" customFormat="false" ht="16.4" hidden="false" customHeight="false" outlineLevel="0" collapsed="false">
      <c r="E87" s="71" t="s">
        <v>33</v>
      </c>
      <c r="F87" s="72" t="s">
        <v>57</v>
      </c>
      <c r="G87" s="73" t="n">
        <v>535</v>
      </c>
      <c r="H87" s="74" t="n">
        <v>534</v>
      </c>
      <c r="I87" s="75" t="n">
        <f aca="false">1-G87/H87</f>
        <v>-0.00187265917602986</v>
      </c>
      <c r="J87" s="67"/>
      <c r="K87" s="68"/>
      <c r="L87" s="68" t="n">
        <v>3</v>
      </c>
      <c r="M87" s="69" t="n">
        <f aca="false">H87*L87</f>
        <v>1602</v>
      </c>
    </row>
    <row r="88" customFormat="false" ht="16.4" hidden="false" customHeight="false" outlineLevel="0" collapsed="false">
      <c r="E88" s="71" t="s">
        <v>31</v>
      </c>
      <c r="F88" s="72" t="s">
        <v>58</v>
      </c>
      <c r="G88" s="73" t="n">
        <v>138</v>
      </c>
      <c r="H88" s="74" t="n">
        <v>139</v>
      </c>
      <c r="I88" s="75" t="n">
        <f aca="false">1-G88/H88</f>
        <v>0.0071942446043165</v>
      </c>
      <c r="J88" s="67"/>
      <c r="K88" s="68"/>
      <c r="L88" s="68" t="n">
        <v>1</v>
      </c>
      <c r="M88" s="69" t="n">
        <f aca="false">H88*L88</f>
        <v>139</v>
      </c>
    </row>
    <row r="89" customFormat="false" ht="16.4" hidden="false" customHeight="false" outlineLevel="0" collapsed="false">
      <c r="E89" s="71" t="s">
        <v>25</v>
      </c>
      <c r="F89" s="72" t="s">
        <v>59</v>
      </c>
      <c r="G89" s="73" t="n">
        <v>668</v>
      </c>
      <c r="H89" s="74" t="n">
        <v>663</v>
      </c>
      <c r="I89" s="75" t="n">
        <f aca="false">1-G89/H89</f>
        <v>-0.0075414781297134</v>
      </c>
      <c r="J89" s="67"/>
      <c r="K89" s="68"/>
      <c r="L89" s="68" t="n">
        <v>2</v>
      </c>
      <c r="M89" s="69" t="n">
        <f aca="false">H89*L89</f>
        <v>1326</v>
      </c>
    </row>
    <row r="90" customFormat="false" ht="16.4" hidden="false" customHeight="false" outlineLevel="0" collapsed="false">
      <c r="E90" s="71" t="s">
        <v>103</v>
      </c>
      <c r="F90" s="72" t="s">
        <v>60</v>
      </c>
      <c r="G90" s="73" t="n">
        <v>189</v>
      </c>
      <c r="H90" s="74" t="n">
        <v>190</v>
      </c>
      <c r="I90" s="75" t="n">
        <f aca="false">1-G90/H90</f>
        <v>0.00526315789473686</v>
      </c>
      <c r="J90" s="67"/>
      <c r="K90" s="68"/>
      <c r="L90" s="68" t="n">
        <v>1</v>
      </c>
      <c r="M90" s="69" t="n">
        <f aca="false">H90*L90</f>
        <v>190</v>
      </c>
    </row>
    <row r="91" customFormat="false" ht="16.4" hidden="false" customHeight="false" outlineLevel="0" collapsed="false">
      <c r="E91" s="71" t="s">
        <v>104</v>
      </c>
      <c r="F91" s="72" t="s">
        <v>61</v>
      </c>
      <c r="G91" s="73" t="n">
        <v>189</v>
      </c>
      <c r="H91" s="74" t="n">
        <v>190</v>
      </c>
      <c r="I91" s="75" t="n">
        <f aca="false">1-G91/H91</f>
        <v>0.00526315789473686</v>
      </c>
      <c r="J91" s="67"/>
      <c r="K91" s="68"/>
      <c r="L91" s="68" t="n">
        <v>1</v>
      </c>
      <c r="M91" s="69" t="n">
        <f aca="false">H91*L91</f>
        <v>190</v>
      </c>
    </row>
    <row r="92" customFormat="false" ht="31.3" hidden="false" customHeight="false" outlineLevel="0" collapsed="false">
      <c r="E92" s="71" t="s">
        <v>105</v>
      </c>
      <c r="F92" s="72" t="s">
        <v>62</v>
      </c>
      <c r="G92" s="73" t="n">
        <v>189</v>
      </c>
      <c r="H92" s="74" t="n">
        <v>190</v>
      </c>
      <c r="I92" s="75" t="n">
        <f aca="false">1-G92/H92</f>
        <v>0.00526315789473686</v>
      </c>
      <c r="J92" s="67"/>
      <c r="K92" s="68"/>
      <c r="L92" s="68" t="n">
        <v>3</v>
      </c>
      <c r="M92" s="69" t="n">
        <f aca="false">H92*L92</f>
        <v>570</v>
      </c>
    </row>
    <row r="93" customFormat="false" ht="13.8" hidden="false" customHeight="false" outlineLevel="0" collapsed="false">
      <c r="E93" s="68" t="s">
        <v>7</v>
      </c>
      <c r="F93" s="68"/>
      <c r="G93" s="76" t="n">
        <f aca="false">SUM(G81:G92)</f>
        <v>5945</v>
      </c>
      <c r="H93" s="76" t="n">
        <f aca="false">SUM(H81:H92)</f>
        <v>5936</v>
      </c>
      <c r="I93" s="68"/>
      <c r="J93" s="67"/>
      <c r="K93" s="68"/>
      <c r="L93" s="68"/>
      <c r="M93" s="69" t="n">
        <f aca="false">SUM(M81:M92)</f>
        <v>13151</v>
      </c>
    </row>
  </sheetData>
  <mergeCells count="5">
    <mergeCell ref="E3:I3"/>
    <mergeCell ref="E23:I23"/>
    <mergeCell ref="E41:I41"/>
    <mergeCell ref="E60:I60"/>
    <mergeCell ref="E78:I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Назар Грехов</dc:creator>
  <dc:description/>
  <dc:language>ru-RU</dc:language>
  <cp:lastModifiedBy/>
  <dcterms:modified xsi:type="dcterms:W3CDTF">2025-04-19T17:22:32Z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